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7C6C53700CC3C0/Documents/"/>
    </mc:Choice>
  </mc:AlternateContent>
  <xr:revisionPtr revIDLastSave="0" documentId="8_{2519AE9A-2C96-44C4-947C-D0EF5314B649}" xr6:coauthVersionLast="47" xr6:coauthVersionMax="47" xr10:uidLastSave="{00000000-0000-0000-0000-000000000000}"/>
  <bookViews>
    <workbookView xWindow="-108" yWindow="-108" windowWidth="23256" windowHeight="12456" activeTab="1" xr2:uid="{FDAECF27-6CC7-4EAD-9A3D-9C990E75CA63}"/>
  </bookViews>
  <sheets>
    <sheet name="S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2" l="1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40" i="2"/>
  <c r="B39" i="2"/>
  <c r="B36" i="2"/>
  <c r="B35" i="2"/>
  <c r="B38" i="2"/>
  <c r="B37" i="2"/>
  <c r="B27" i="2"/>
  <c r="B28" i="2"/>
  <c r="B26" i="2"/>
  <c r="B22" i="2"/>
  <c r="B20" i="2"/>
  <c r="B30" i="2"/>
  <c r="B29" i="2"/>
  <c r="B21" i="2"/>
  <c r="E16" i="2"/>
  <c r="E15" i="2"/>
  <c r="E14" i="2"/>
  <c r="E13" i="2"/>
  <c r="D16" i="2"/>
  <c r="D15" i="2"/>
  <c r="D14" i="2"/>
  <c r="D13" i="2"/>
  <c r="C14" i="2"/>
  <c r="C15" i="2"/>
  <c r="C16" i="2"/>
  <c r="C13" i="2"/>
  <c r="B13" i="2"/>
  <c r="B16" i="2"/>
  <c r="B15" i="2"/>
  <c r="B14" i="2"/>
  <c r="B8" i="2"/>
  <c r="B7" i="2"/>
  <c r="B6" i="2"/>
</calcChain>
</file>

<file path=xl/sharedStrings.xml><?xml version="1.0" encoding="utf-8"?>
<sst xmlns="http://schemas.openxmlformats.org/spreadsheetml/2006/main" count="1577" uniqueCount="571">
  <si>
    <t>ID</t>
  </si>
  <si>
    <t>Name</t>
  </si>
  <si>
    <t>Age</t>
  </si>
  <si>
    <t>Overall</t>
  </si>
  <si>
    <t>Potential</t>
  </si>
  <si>
    <t>Preferred Foot</t>
  </si>
  <si>
    <t>Position</t>
  </si>
  <si>
    <t>Finishing</t>
  </si>
  <si>
    <t>L. Messi</t>
  </si>
  <si>
    <t>Left</t>
  </si>
  <si>
    <t>RF</t>
  </si>
  <si>
    <t>Cristiano Ronaldo</t>
  </si>
  <si>
    <t>Right</t>
  </si>
  <si>
    <t>ST</t>
  </si>
  <si>
    <t>Neymar Jr</t>
  </si>
  <si>
    <t>LW</t>
  </si>
  <si>
    <t>De Gea</t>
  </si>
  <si>
    <t>GK</t>
  </si>
  <si>
    <t>K. De Bruyne</t>
  </si>
  <si>
    <t>RCM</t>
  </si>
  <si>
    <t>E. Hazard</t>
  </si>
  <si>
    <t>LF</t>
  </si>
  <si>
    <t>L. ModriÄ‡</t>
  </si>
  <si>
    <t>L. SuÃ¡rez</t>
  </si>
  <si>
    <t>RS</t>
  </si>
  <si>
    <t>Sergio Ramos</t>
  </si>
  <si>
    <t>RCB</t>
  </si>
  <si>
    <t>J. Oblak</t>
  </si>
  <si>
    <t>R. Lewandowski</t>
  </si>
  <si>
    <t>T. Kroos</t>
  </si>
  <si>
    <t>LCM</t>
  </si>
  <si>
    <t>D. GodÃ­n</t>
  </si>
  <si>
    <t>CB</t>
  </si>
  <si>
    <t>David Silva</t>
  </si>
  <si>
    <t>N. KantÃ©</t>
  </si>
  <si>
    <t>LDM</t>
  </si>
  <si>
    <t>P. Dybala</t>
  </si>
  <si>
    <t>H. Kane</t>
  </si>
  <si>
    <t>A. Griezmann</t>
  </si>
  <si>
    <t>CAM</t>
  </si>
  <si>
    <t>M. ter Stegen</t>
  </si>
  <si>
    <t>T. Courtois</t>
  </si>
  <si>
    <t>Sergio Busquets</t>
  </si>
  <si>
    <t>CDM</t>
  </si>
  <si>
    <t>E. Cavani</t>
  </si>
  <si>
    <t>LS</t>
  </si>
  <si>
    <t>M. Neuer</t>
  </si>
  <si>
    <t>S. AgÃ¼ero</t>
  </si>
  <si>
    <t>G. Chiellini</t>
  </si>
  <si>
    <t>LCB</t>
  </si>
  <si>
    <t>K. MbappÃ©</t>
  </si>
  <si>
    <t>RM</t>
  </si>
  <si>
    <t>M. Salah</t>
  </si>
  <si>
    <t>Casemiro</t>
  </si>
  <si>
    <t>J. RodrÃ­guez</t>
  </si>
  <si>
    <t>LAM</t>
  </si>
  <si>
    <t>L. Insigne</t>
  </si>
  <si>
    <t>Isco</t>
  </si>
  <si>
    <t>C. Eriksen</t>
  </si>
  <si>
    <t>Coutinho</t>
  </si>
  <si>
    <t>P. Aubameyang</t>
  </si>
  <si>
    <t>LM</t>
  </si>
  <si>
    <t>M. Hummels</t>
  </si>
  <si>
    <t>Marcelo</t>
  </si>
  <si>
    <t>LB</t>
  </si>
  <si>
    <t>G. Bale</t>
  </si>
  <si>
    <t>H. Lloris</t>
  </si>
  <si>
    <t>G. HiguaÃ­n</t>
  </si>
  <si>
    <t>Thiago Silva</t>
  </si>
  <si>
    <t>S. HandanoviÄ</t>
  </si>
  <si>
    <t>G. Buffon</t>
  </si>
  <si>
    <t>S. Umtiti</t>
  </si>
  <si>
    <t>M. Icardi</t>
  </si>
  <si>
    <t>K. Koulibaly</t>
  </si>
  <si>
    <t>P. Pogba</t>
  </si>
  <si>
    <t>RDM</t>
  </si>
  <si>
    <t>K. Navas</t>
  </si>
  <si>
    <t>R. Lukaku</t>
  </si>
  <si>
    <t>C. Immobile</t>
  </si>
  <si>
    <t>Jordi Alba</t>
  </si>
  <si>
    <t>D. Mertens</t>
  </si>
  <si>
    <t>J. Vertonghen</t>
  </si>
  <si>
    <t>M. HamÅ¡Ã­k</t>
  </si>
  <si>
    <t>I. RakitiÄ‡</t>
  </si>
  <si>
    <t>PiquÃ©</t>
  </si>
  <si>
    <t>L. SanÃ©</t>
  </si>
  <si>
    <t>Bernardo Silva</t>
  </si>
  <si>
    <t>RW</t>
  </si>
  <si>
    <t>Ederson</t>
  </si>
  <si>
    <t>S. ManÃ©</t>
  </si>
  <si>
    <t>V. van Dijk</t>
  </si>
  <si>
    <t>R. Sterling</t>
  </si>
  <si>
    <t>Roberto Firmino</t>
  </si>
  <si>
    <t>R. Varane</t>
  </si>
  <si>
    <t>M. Verratti</t>
  </si>
  <si>
    <t>Alex Sandro</t>
  </si>
  <si>
    <t>Douglas Costa</t>
  </si>
  <si>
    <t>T. MÃ¼ller</t>
  </si>
  <si>
    <t>Thiago</t>
  </si>
  <si>
    <t>CM</t>
  </si>
  <si>
    <t>M. Reus</t>
  </si>
  <si>
    <t>Azpilicueta</t>
  </si>
  <si>
    <t>RB</t>
  </si>
  <si>
    <t>L. Bonucci</t>
  </si>
  <si>
    <t>T. Alderweireld</t>
  </si>
  <si>
    <t>M. PjaniÄ‡</t>
  </si>
  <si>
    <t>M. Benatia</t>
  </si>
  <si>
    <t>M. Ã–zil</t>
  </si>
  <si>
    <t>Fernandinho</t>
  </si>
  <si>
    <t>Iniesta</t>
  </si>
  <si>
    <t>M. Å kriniar</t>
  </si>
  <si>
    <t>S. MilinkoviÄ‡-SaviÄ‡</t>
  </si>
  <si>
    <t>Marco Asensio</t>
  </si>
  <si>
    <t>N. Fekir</t>
  </si>
  <si>
    <t>Alisson</t>
  </si>
  <si>
    <t>J. Kimmich</t>
  </si>
  <si>
    <t>SaÃºl</t>
  </si>
  <si>
    <t>R. Mahrez</t>
  </si>
  <si>
    <t>D. Alaba</t>
  </si>
  <si>
    <t>Koke</t>
  </si>
  <si>
    <t>A. Lacazette</t>
  </si>
  <si>
    <t>K. Manolas</t>
  </si>
  <si>
    <t>N. Otamendi</t>
  </si>
  <si>
    <t>Parejo</t>
  </si>
  <si>
    <t>Paulinho</t>
  </si>
  <si>
    <t>W. SzczÄ™sny</t>
  </si>
  <si>
    <t>A. SÃ¡nchez</t>
  </si>
  <si>
    <t>Y. Brahimi</t>
  </si>
  <si>
    <t>J. Boateng</t>
  </si>
  <si>
    <t>A. Vidal</t>
  </si>
  <si>
    <t>I. PeriÅ¡iÄ‡</t>
  </si>
  <si>
    <t>E. DÅ¾eko</t>
  </si>
  <si>
    <t>S. Khedira</t>
  </si>
  <si>
    <t>Diego Costa</t>
  </si>
  <si>
    <t>R. Nainggolan</t>
  </si>
  <si>
    <t>Naldo</t>
  </si>
  <si>
    <t>B. Matuidi</t>
  </si>
  <si>
    <t>Miranda</t>
  </si>
  <si>
    <t>K. Benzema</t>
  </si>
  <si>
    <t>Filipe LuÃ­s</t>
  </si>
  <si>
    <t>V. Kompany</t>
  </si>
  <si>
    <t>Pepe</t>
  </si>
  <si>
    <t>Z. IbrahimoviÄ‡</t>
  </si>
  <si>
    <t>D. SÃ¡nchez</t>
  </si>
  <si>
    <t>J. GimÃ©nez</t>
  </si>
  <si>
    <t>Alex Telles</t>
  </si>
  <si>
    <t>A. Laporte</t>
  </si>
  <si>
    <t>Bruno Fernandes</t>
  </si>
  <si>
    <t>N. SÃ¼le</t>
  </si>
  <si>
    <t>A. Martial</t>
  </si>
  <si>
    <t>D. Alli</t>
  </si>
  <si>
    <t>Fabinho</t>
  </si>
  <si>
    <t>Marquinhos</t>
  </si>
  <si>
    <t>William Carvalho</t>
  </si>
  <si>
    <t>Jorginho</t>
  </si>
  <si>
    <t>F. Thauvin</t>
  </si>
  <si>
    <t>Carvajal</t>
  </si>
  <si>
    <t>M. Depay</t>
  </si>
  <si>
    <t>H. Son</t>
  </si>
  <si>
    <t>A. Lopes</t>
  </si>
  <si>
    <t>S. de Vrij</t>
  </si>
  <si>
    <t>M. Perin</t>
  </si>
  <si>
    <t>J. Cuadrado</t>
  </si>
  <si>
    <t>RAM</t>
  </si>
  <si>
    <t>Iago Aspas</t>
  </si>
  <si>
    <t>B. Leno</t>
  </si>
  <si>
    <t>N. MatiÄ‡</t>
  </si>
  <si>
    <t>L. HrÃ¡deckÃ½</t>
  </si>
  <si>
    <t>Illarramendi</t>
  </si>
  <si>
    <t>K. Walker</t>
  </si>
  <si>
    <t>I. GÃ¼ndoÄŸan</t>
  </si>
  <si>
    <t>JosÃ© CallejÃ³n</t>
  </si>
  <si>
    <t>A. Di MarÃ­a</t>
  </si>
  <si>
    <t>M. MandÅ¾ukiÄ‡</t>
  </si>
  <si>
    <t>Willian</t>
  </si>
  <si>
    <t>Sergio Asenjo</t>
  </si>
  <si>
    <t>E. Banega</t>
  </si>
  <si>
    <t>A. Witsel</t>
  </si>
  <si>
    <t>D. Payet</t>
  </si>
  <si>
    <t>Jonas</t>
  </si>
  <si>
    <t>Sokratis</t>
  </si>
  <si>
    <t>S. Ruffier</t>
  </si>
  <si>
    <t>Falcao</t>
  </si>
  <si>
    <t>K. Schmeichel</t>
  </si>
  <si>
    <t>RaÃºl Albiol</t>
  </si>
  <si>
    <t>A. GÃ³mez</t>
  </si>
  <si>
    <t>A. Barzagli</t>
  </si>
  <si>
    <t>Quaresma</t>
  </si>
  <si>
    <t>A. Robben</t>
  </si>
  <si>
    <t>O. DembÃ©lÃ©</t>
  </si>
  <si>
    <t>Gabriel Jesus</t>
  </si>
  <si>
    <t>Ronaldo Cabrais</t>
  </si>
  <si>
    <t>JosuÃ© Chiamulera</t>
  </si>
  <si>
    <t>Louri Beretta</t>
  </si>
  <si>
    <t>P. Kimpembe</t>
  </si>
  <si>
    <t>N. KeÃ¯ta</t>
  </si>
  <si>
    <t>C. Tolisso</t>
  </si>
  <si>
    <t>T. Lemar</t>
  </si>
  <si>
    <t>K. Coman</t>
  </si>
  <si>
    <t>J. Tah</t>
  </si>
  <si>
    <t>Anderson Talisca</t>
  </si>
  <si>
    <t>T. Werner</t>
  </si>
  <si>
    <t>A. Rabiot</t>
  </si>
  <si>
    <t>L. Goretzka</t>
  </si>
  <si>
    <t>Q. Promes</t>
  </si>
  <si>
    <t>H. Ziyech</t>
  </si>
  <si>
    <t>Lucas VÃ¡zquez</t>
  </si>
  <si>
    <t>Y. Carrasco</t>
  </si>
  <si>
    <t>Gerard Moreno</t>
  </si>
  <si>
    <t>Felipe</t>
  </si>
  <si>
    <t>M. KovaÄiÄ‡</t>
  </si>
  <si>
    <t>Kepa</t>
  </si>
  <si>
    <t>Manu Trigueros</t>
  </si>
  <si>
    <t>S. Gnabry</t>
  </si>
  <si>
    <t>J. Pickford</t>
  </si>
  <si>
    <t>S. SaviÄ‡</t>
  </si>
  <si>
    <t>J. Stones</t>
  </si>
  <si>
    <t>Suso</t>
  </si>
  <si>
    <t>J. Draxler</t>
  </si>
  <si>
    <t>Felipe Anderson</t>
  </si>
  <si>
    <t>Lucas Moura</t>
  </si>
  <si>
    <t>Danilo Pereira</t>
  </si>
  <si>
    <t>Nacho FernÃ¡ndez</t>
  </si>
  <si>
    <t>T. Horn</t>
  </si>
  <si>
    <t>Allan</t>
  </si>
  <si>
    <t>F. Acerbi</t>
  </si>
  <si>
    <t>Sergi Roberto</t>
  </si>
  <si>
    <t>Rodrigo</t>
  </si>
  <si>
    <t>Pizzi</t>
  </si>
  <si>
    <t>K. Kampl</t>
  </si>
  <si>
    <t>Neto</t>
  </si>
  <si>
    <t>O. Baumann</t>
  </si>
  <si>
    <t>I. Gueye</t>
  </si>
  <si>
    <t>H. Mkhitaryan</t>
  </si>
  <si>
    <t>Marcos Alonso</t>
  </si>
  <si>
    <t>D. SubaÅ¡iÄ‡</t>
  </si>
  <si>
    <t>K. Glik</t>
  </si>
  <si>
    <t>K. Strootman</t>
  </si>
  <si>
    <t>B. Dost</t>
  </si>
  <si>
    <t>Oscar</t>
  </si>
  <si>
    <t>M. Balotelli</t>
  </si>
  <si>
    <t>Luiz Gustavo</t>
  </si>
  <si>
    <t>Giuliano</t>
  </si>
  <si>
    <t>David Luiz</t>
  </si>
  <si>
    <t>R. FÃ¤hrmann</t>
  </si>
  <si>
    <t>Juan Mata</t>
  </si>
  <si>
    <t>AdÃ¡n</t>
  </si>
  <si>
    <t>Rui PatrÃ­cio</t>
  </si>
  <si>
    <t>Y. Sommer</t>
  </si>
  <si>
    <t>Javi MartÃ­nez</t>
  </si>
  <si>
    <t>L. Bender</t>
  </si>
  <si>
    <t>Lucas Leiva</t>
  </si>
  <si>
    <t>S. Mandanda</t>
  </si>
  <si>
    <t>Cesc FÃ bregas</t>
  </si>
  <si>
    <t>M. DembÃ©lÃ©</t>
  </si>
  <si>
    <t>F. RibÃ©ry</t>
  </si>
  <si>
    <t>R. Jarstein</t>
  </si>
  <si>
    <t>D. De Rossi</t>
  </si>
  <si>
    <t>Pepe Reina</t>
  </si>
  <si>
    <t>J. Pavlenka</t>
  </si>
  <si>
    <t>M. de Ligt</t>
  </si>
  <si>
    <t>Rodri</t>
  </si>
  <si>
    <t>Arthur</t>
  </si>
  <si>
    <t>G. Donnarumma</t>
  </si>
  <si>
    <t>Rosberto Dourado</t>
  </si>
  <si>
    <t>Juiano Mestres</t>
  </si>
  <si>
    <t>Raphaelito Anjos</t>
  </si>
  <si>
    <t>Gelson Martins</t>
  </si>
  <si>
    <t>GonÃ§alo Guedes</t>
  </si>
  <si>
    <t>L. Torreira</t>
  </si>
  <si>
    <t>Malcom</t>
  </si>
  <si>
    <t>Pau LÃ³pez</t>
  </si>
  <si>
    <t>L. HernÃ¡ndez</t>
  </si>
  <si>
    <t>C. Lenglet</t>
  </si>
  <si>
    <t>A. KramariÄ‡</t>
  </si>
  <si>
    <t>A. Robertson</t>
  </si>
  <si>
    <t>Dani GarcÃ­a</t>
  </si>
  <si>
    <t>F. Bernardeschi</t>
  </si>
  <si>
    <t>J. Brandt</t>
  </si>
  <si>
    <t>D. Rugani</t>
  </si>
  <si>
    <t>Samu Castillejo</t>
  </si>
  <si>
    <t>JoÃ£o Cancelo</t>
  </si>
  <si>
    <t>A. Romagnoli</t>
  </si>
  <si>
    <t>T. Partey</t>
  </si>
  <si>
    <t>Fred</t>
  </si>
  <si>
    <t>J. Vardy</t>
  </si>
  <si>
    <t>A. Belotti</t>
  </si>
  <si>
    <t>E. Forsberg</t>
  </si>
  <si>
    <t>J. Lingard</t>
  </si>
  <si>
    <t>F. VÃ¡zquez</t>
  </si>
  <si>
    <t>E. ViÅ¡Ä‡a</t>
  </si>
  <si>
    <t>A. RÃ¼diger</t>
  </si>
  <si>
    <t>A. Florenzi</t>
  </si>
  <si>
    <t>H. Maguire</t>
  </si>
  <si>
    <t>T. Meunier</t>
  </si>
  <si>
    <t>S. SanÃ©</t>
  </si>
  <si>
    <t>G. Kondogbia</t>
  </si>
  <si>
    <t>Rafinha</t>
  </si>
  <si>
    <t>Gabriel Paulista</t>
  </si>
  <si>
    <t>Morata</t>
  </si>
  <si>
    <t>J. Cillessen</t>
  </si>
  <si>
    <t>W. Ben Yedder</t>
  </si>
  <si>
    <t>C. Bakambu</t>
  </si>
  <si>
    <t>Pablo Sarabia</t>
  </si>
  <si>
    <t>W. Zaha</t>
  </si>
  <si>
    <t>Luis Alberto</t>
  </si>
  <si>
    <t>CF</t>
  </si>
  <si>
    <t>Jonathan Viera</t>
  </si>
  <si>
    <t>Bartra</t>
  </si>
  <si>
    <t>S. Coates</t>
  </si>
  <si>
    <t>Willian JosÃ©</t>
  </si>
  <si>
    <t>MÃ¡rio Fernandes</t>
  </si>
  <si>
    <t>VÃ­ctor Ruiz</t>
  </si>
  <si>
    <t>T. Delaney</t>
  </si>
  <si>
    <t>K. Casteels</t>
  </si>
  <si>
    <t>M. GÃ¶tze</t>
  </si>
  <si>
    <t>S. Mustafi</t>
  </si>
  <si>
    <t>J. Pastore</t>
  </si>
  <si>
    <t>Pedro</t>
  </si>
  <si>
    <t>G. Bonaventura</t>
  </si>
  <si>
    <t>R. BÃ¼rki</t>
  </si>
  <si>
    <t>Taison</t>
  </si>
  <si>
    <t>S. Nzonzi</t>
  </si>
  <si>
    <t>Marlos</t>
  </si>
  <si>
    <t>A. Ramsey</t>
  </si>
  <si>
    <t>K. Trippier</t>
  </si>
  <si>
    <t>A. Kolarov</t>
  </si>
  <si>
    <t>G. SigurÃ°sson</t>
  </si>
  <si>
    <t>S. Giovinco</t>
  </si>
  <si>
    <t>M. ArnautoviÄ‡</t>
  </si>
  <si>
    <t>N. GaitÃ¡n</t>
  </si>
  <si>
    <t>J. Henderson</t>
  </si>
  <si>
    <t>M. Kruse</t>
  </si>
  <si>
    <t>M. Parolo</t>
  </si>
  <si>
    <t>L. Fejsa</t>
  </si>
  <si>
    <t>A. Rami</t>
  </si>
  <si>
    <t>V. Ä†orluka</t>
  </si>
  <si>
    <t>G. Wijnaldum</t>
  </si>
  <si>
    <t>F. Fazio</t>
  </si>
  <si>
    <t>O. Giroud</t>
  </si>
  <si>
    <t>Marcano</t>
  </si>
  <si>
    <t>A. Guardado</t>
  </si>
  <si>
    <t>E. Garay</t>
  </si>
  <si>
    <t>Jardel</t>
  </si>
  <si>
    <t>S. Sirigu</t>
  </si>
  <si>
    <t>E. Viviano</t>
  </si>
  <si>
    <t>L. Koscielny</t>
  </si>
  <si>
    <t>A. Consigli</t>
  </si>
  <si>
    <t>L. Biglia</t>
  </si>
  <si>
    <t>Dani Alves</t>
  </si>
  <si>
    <t>David Villa</t>
  </si>
  <si>
    <t>Aduriz</t>
  </si>
  <si>
    <t>P. ÄŒech</t>
  </si>
  <si>
    <t>Casillas</t>
  </si>
  <si>
    <t>M. Rashford</t>
  </si>
  <si>
    <t>Laure Santeiro</t>
  </si>
  <si>
    <t>L. Bailey</t>
  </si>
  <si>
    <t>M. Akanji</t>
  </si>
  <si>
    <t>F. de Jong</t>
  </si>
  <si>
    <t>NÃ©lson Semedo</t>
  </si>
  <si>
    <t>Pablo Fornals</t>
  </si>
  <si>
    <t>FabiÃ¡n</t>
  </si>
  <si>
    <t>E. Bailly</t>
  </si>
  <si>
    <t>Dani Ceballos</t>
  </si>
  <si>
    <t>H. Lozano</t>
  </si>
  <si>
    <t>Morales</t>
  </si>
  <si>
    <t>J. Seri</t>
  </si>
  <si>
    <t>M. Politano</t>
  </si>
  <si>
    <t>M. BrozoviÄ‡</t>
  </si>
  <si>
    <t>Williams</t>
  </si>
  <si>
    <t>A. Correa</t>
  </si>
  <si>
    <t>A. Christensen</t>
  </si>
  <si>
    <t>JoÃ£o MÃ¡rio</t>
  </si>
  <si>
    <t>T. Strakosha</t>
  </si>
  <si>
    <t>E. Hysaj</t>
  </si>
  <si>
    <t>P. ZieliÅ„ski</t>
  </si>
  <si>
    <t>Ricardo Pereira</t>
  </si>
  <si>
    <t>Grimaldo</t>
  </si>
  <si>
    <t>R. Guerreiro</t>
  </si>
  <si>
    <t>A. DoucourÃ©</t>
  </si>
  <si>
    <t>J. MartÃ­nez</t>
  </si>
  <si>
    <t>C. Bacca</t>
  </si>
  <si>
    <t>A. Plea</t>
  </si>
  <si>
    <t>B. Davies</t>
  </si>
  <si>
    <t>M. NastasiÄ‡</t>
  </si>
  <si>
    <t>A. Milik</t>
  </si>
  <si>
    <t>M. Sabitzer</t>
  </si>
  <si>
    <t>B. Mendy</t>
  </si>
  <si>
    <t>C. Kramer</t>
  </si>
  <si>
    <t>S. Vrsaljko</t>
  </si>
  <si>
    <t>T. Hazard</t>
  </si>
  <si>
    <t>K. Bellarabi</t>
  </si>
  <si>
    <t>S. Zaza</t>
  </si>
  <si>
    <t>F. Ghoulam</t>
  </si>
  <si>
    <t>B. Lecomte</t>
  </si>
  <si>
    <t>J. IliÄiÄ‡</t>
  </si>
  <si>
    <t>K. Volland</t>
  </si>
  <si>
    <t>Paco AlcÃ¡cer</t>
  </si>
  <si>
    <t>Vitolo</t>
  </si>
  <si>
    <t>G. Xhaka</t>
  </si>
  <si>
    <t>D. TadiÄ‡</t>
  </si>
  <si>
    <t>C. ArÃ¡nguiz</t>
  </si>
  <si>
    <t>S. Verdi</t>
  </si>
  <si>
    <t>D. Lovren</t>
  </si>
  <si>
    <t>G. Medel</t>
  </si>
  <si>
    <t>X. Shaqiri</t>
  </si>
  <si>
    <t>J. Corona</t>
  </si>
  <si>
    <t>A. Areola</t>
  </si>
  <si>
    <t>K. Vogt</t>
  </si>
  <si>
    <t>Ander Herrera</t>
  </si>
  <si>
    <t>E. Salvio</t>
  </si>
  <si>
    <t>S. El Shaarawy</t>
  </si>
  <si>
    <t>C. Smalling</t>
  </si>
  <si>
    <t>Hulk</t>
  </si>
  <si>
    <t>S. Kagawa</t>
  </si>
  <si>
    <t>M. Lanzini</t>
  </si>
  <si>
    <t>F. Smolov</t>
  </si>
  <si>
    <t>L. Stindl</t>
  </si>
  <si>
    <t>O. Toprak</t>
  </si>
  <si>
    <t>D. Perotti</t>
  </si>
  <si>
    <t>F. Muslera</t>
  </si>
  <si>
    <t>B. HÃ¶wedes</t>
  </si>
  <si>
    <t>S. KjÃ¦r</t>
  </si>
  <si>
    <t>S. Bender</t>
  </si>
  <si>
    <t>M. Valbuena</t>
  </si>
  <si>
    <t>Pedro LeÃ³n</t>
  </si>
  <si>
    <t>K. Boateng</t>
  </si>
  <si>
    <t>L. Piszczek</t>
  </si>
  <si>
    <t>A. Candreva</t>
  </si>
  <si>
    <t>D. Wass</t>
  </si>
  <si>
    <t>E. Lamela</t>
  </si>
  <si>
    <t>D. Rose</t>
  </si>
  <si>
    <t>C. Vela</t>
  </si>
  <si>
    <t>Renato Augusto</t>
  </si>
  <si>
    <t>A. Valencia</t>
  </si>
  <si>
    <t>L. FabiaÅ„ski</t>
  </si>
  <si>
    <t>JoÃ£o Moutinho</t>
  </si>
  <si>
    <t>Borja Valero</t>
  </si>
  <si>
    <t>F. Quagliarella</t>
  </si>
  <si>
    <t>B. Gomis</t>
  </si>
  <si>
    <t>Manuel Fernandes</t>
  </si>
  <si>
    <t>H. Herrera</t>
  </si>
  <si>
    <t>Raffael</t>
  </si>
  <si>
    <t>Nani</t>
  </si>
  <si>
    <t>J. Milner</t>
  </si>
  <si>
    <t>J. Mathieu</t>
  </si>
  <si>
    <t>JoaquÃ­n</t>
  </si>
  <si>
    <t>M. GÃ³mez</t>
  </si>
  <si>
    <t>K. Havertz</t>
  </si>
  <si>
    <t>T. Ndombele</t>
  </si>
  <si>
    <t>H. Aouar</t>
  </si>
  <si>
    <t>Carlos Soler</t>
  </si>
  <si>
    <t>Odriozola</t>
  </si>
  <si>
    <t>M. AlmirÃ³n</t>
  </si>
  <si>
    <t>Welington Dano</t>
  </si>
  <si>
    <t>Everton AndrÃ£o</t>
  </si>
  <si>
    <t>Oyarzabal</t>
  </si>
  <si>
    <t>F. Balbuena</t>
  </si>
  <si>
    <t>M. Marega</t>
  </si>
  <si>
    <t>B. Pavard</t>
  </si>
  <si>
    <t>W. Ndidi</t>
  </si>
  <si>
    <t>A. Onana</t>
  </si>
  <si>
    <t>G. Lo Celso</t>
  </si>
  <si>
    <t>M. AcuÃ±a</t>
  </si>
  <si>
    <t>RÃºben Neves</t>
  </si>
  <si>
    <t>Mariano</t>
  </si>
  <si>
    <t>RaÃºl</t>
  </si>
  <si>
    <t>M. Caldara</t>
  </si>
  <si>
    <t>M. Vecino</t>
  </si>
  <si>
    <t>T. Bakayoko</t>
  </si>
  <si>
    <t>M. Dahoud</t>
  </si>
  <si>
    <t>Rafa</t>
  </si>
  <si>
    <t>K. BaldÃ©</t>
  </si>
  <si>
    <t>G. Rulli</t>
  </si>
  <si>
    <t>F. Armani</t>
  </si>
  <si>
    <t>Rony Lopes</t>
  </si>
  <si>
    <t>Santi Mina</t>
  </si>
  <si>
    <t>K. Demirbay</t>
  </si>
  <si>
    <t>GayÃ </t>
  </si>
  <si>
    <t>AndrÃ© Gomes</t>
  </si>
  <si>
    <t>N. Tagliafico</t>
  </si>
  <si>
    <t>M. Sanson</t>
  </si>
  <si>
    <t>Pacheco</t>
  </si>
  <si>
    <t>E. Can</t>
  </si>
  <si>
    <t>H. Ã‡alhanoÄŸlu</t>
  </si>
  <si>
    <t>M. Ginter</t>
  </si>
  <si>
    <t>RWB</t>
  </si>
  <si>
    <t>M. Keane</t>
  </si>
  <si>
    <t>L. Paredes</t>
  </si>
  <si>
    <t>T. Stepanenko</t>
  </si>
  <si>
    <t>L. Shaw</t>
  </si>
  <si>
    <t>Z. Feddal</t>
  </si>
  <si>
    <t>S. Haller</t>
  </si>
  <si>
    <t>Bernard</t>
  </si>
  <si>
    <t>T. Inui</t>
  </si>
  <si>
    <t>Portu</t>
  </si>
  <si>
    <t>M. Batshuayi</t>
  </si>
  <si>
    <t>E. Zahavi</t>
  </si>
  <si>
    <t>T. VaclÃ­k</t>
  </si>
  <si>
    <t>N. Pope</t>
  </si>
  <si>
    <t>HÃ©ctor BellerÃ­n</t>
  </si>
  <si>
    <t>P. KadeÅ™Ã¡bek</t>
  </si>
  <si>
    <t>J. Butland</t>
  </si>
  <si>
    <t>J. Vestergaard</t>
  </si>
  <si>
    <t>J. Tarkowski</t>
  </si>
  <si>
    <t>Deulofeu</t>
  </si>
  <si>
    <t>E. Dier</t>
  </si>
  <si>
    <t>J. Murillo</t>
  </si>
  <si>
    <t>M. Badelj</t>
  </si>
  <si>
    <t>Ismaily</t>
  </si>
  <si>
    <t>N. Schulz</t>
  </si>
  <si>
    <t>LWB</t>
  </si>
  <si>
    <t>L. Digne</t>
  </si>
  <si>
    <t>M. Uth</t>
  </si>
  <si>
    <t>Cristian Tello</t>
  </si>
  <si>
    <t>D. Vida</t>
  </si>
  <si>
    <t>L. Muriel</t>
  </si>
  <si>
    <t>V. Aboubakar</t>
  </si>
  <si>
    <t>A. Oxlade-Chamberlain</t>
  </si>
  <si>
    <t>S. Aurier</t>
  </si>
  <si>
    <t>J. Matip</t>
  </si>
  <si>
    <t>Y. Rakitskyi</t>
  </si>
  <si>
    <t>Sergi Enrich</t>
  </si>
  <si>
    <t>A. Yarmolenko</t>
  </si>
  <si>
    <t>Hugo Mallo</t>
  </si>
  <si>
    <t>AndrÃ© Almeida</t>
  </si>
  <si>
    <t>D. Didavi</t>
  </si>
  <si>
    <t>R. RodrÃ­guez</t>
  </si>
  <si>
    <t>R. Pereyra</t>
  </si>
  <si>
    <t>Mario Gaspar</t>
  </si>
  <si>
    <t>Maicon</t>
  </si>
  <si>
    <t>D. Blind</t>
  </si>
  <si>
    <t>J. Zoet</t>
  </si>
  <si>
    <t>A. LjajiÄ‡</t>
  </si>
  <si>
    <t>Canales</t>
  </si>
  <si>
    <t>Iago FalquÃ©</t>
  </si>
  <si>
    <t>TASK 1 – EXCEL BASED EXPLORATION</t>
  </si>
  <si>
    <t>Dataset Profile</t>
  </si>
  <si>
    <t>Number of records</t>
  </si>
  <si>
    <t>Number of columns</t>
  </si>
  <si>
    <t>Column names</t>
  </si>
  <si>
    <t xml:space="preserve">Dataset </t>
  </si>
  <si>
    <t>SIZE</t>
  </si>
  <si>
    <t>VALUE RANGE</t>
  </si>
  <si>
    <t>Field</t>
  </si>
  <si>
    <t>MIN</t>
  </si>
  <si>
    <t>MAX</t>
  </si>
  <si>
    <t>AVG</t>
  </si>
  <si>
    <t>RANGE</t>
  </si>
  <si>
    <t>Count by Preferred Foot</t>
  </si>
  <si>
    <t>Count</t>
  </si>
  <si>
    <t>Count by Position</t>
  </si>
  <si>
    <t>Overall Rating Band Distribution</t>
  </si>
  <si>
    <t>Overall Band</t>
  </si>
  <si>
    <t>Formula</t>
  </si>
  <si>
    <t>Below 60</t>
  </si>
  <si>
    <t>60–69</t>
  </si>
  <si>
    <t>70–79</t>
  </si>
  <si>
    <t>80–89</t>
  </si>
  <si>
    <t>90-100</t>
  </si>
  <si>
    <t>TOTAL</t>
  </si>
  <si>
    <t>total</t>
  </si>
  <si>
    <t>Age Band Distribution</t>
  </si>
  <si>
    <t>Age Band</t>
  </si>
  <si>
    <t>Under 20</t>
  </si>
  <si>
    <t>20–24</t>
  </si>
  <si>
    <t>25–28</t>
  </si>
  <si>
    <t>29–32</t>
  </si>
  <si>
    <t>33+</t>
  </si>
  <si>
    <t>POSITION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</si>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</sst>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0" fillId="33" borderId="0" xfId="0" applyFill="1"/>
    <xf numFmtId="0" fontId="0" fillId="34" borderId="0" xfId="0" applyFill="1"/>
    <xf numFmtId="0" fontId="18" fillId="34" borderId="0" xfId="0" applyFont="1" applyFill="1"/>
    <xf numFmtId="0" fontId="0" fillId="0" borderId="0" xfId="0" applyAlignment="1">
      <alignment vertical="center" wrapText="1"/>
    </xf>
    <xf numFmtId="0" fontId="0" fillId="34" borderId="0" xfId="0" applyFont="1" applyFill="1" applyAlignment="1">
      <alignment vertical="center"/>
    </xf>
    <xf numFmtId="0" fontId="19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Sheet1!$B$11:$E$12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Sheet1!$B$13:$E$13</c:f>
              <c:numCache>
                <c:formatCode>General</c:formatCode>
                <c:ptCount val="4"/>
                <c:pt idx="0">
                  <c:v>18</c:v>
                </c:pt>
                <c:pt idx="1">
                  <c:v>40</c:v>
                </c:pt>
                <c:pt idx="2">
                  <c:v>27.192384769539078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E-4C45-AC04-8BA6B3D932EB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Sheet1!$B$11:$E$12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Sheet1!$B$14:$E$14</c:f>
              <c:numCache>
                <c:formatCode>General</c:formatCode>
                <c:ptCount val="4"/>
                <c:pt idx="0">
                  <c:v>80</c:v>
                </c:pt>
                <c:pt idx="1">
                  <c:v>94</c:v>
                </c:pt>
                <c:pt idx="2">
                  <c:v>82.905811623246493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E-4C45-AC04-8BA6B3D932EB}"/>
            </c:ext>
          </c:extLst>
        </c:ser>
        <c:ser>
          <c:idx val="2"/>
          <c:order val="2"/>
          <c:tx>
            <c:strRef>
              <c:f>Sheet1!$A$15</c:f>
              <c:strCache>
                <c:ptCount val="1"/>
                <c:pt idx="0">
                  <c:v>Potential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Sheet1!$B$11:$E$12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Sheet1!$B$15:$E$15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84.831663326653313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E-4C45-AC04-8BA6B3D932EB}"/>
            </c:ext>
          </c:extLst>
        </c:ser>
        <c:ser>
          <c:idx val="3"/>
          <c:order val="3"/>
          <c:tx>
            <c:strRef>
              <c:f>Sheet1!$A$16</c:f>
              <c:strCache>
                <c:ptCount val="1"/>
                <c:pt idx="0">
                  <c:v>Finishing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Sheet1!$B$11:$E$12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Sheet1!$B$16:$E$16</c:f>
              <c:numCache>
                <c:formatCode>General</c:formatCode>
                <c:ptCount val="4"/>
                <c:pt idx="0">
                  <c:v>8</c:v>
                </c:pt>
                <c:pt idx="1">
                  <c:v>95</c:v>
                </c:pt>
                <c:pt idx="2">
                  <c:v>59.615230460921843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3E-4C45-AC04-8BA6B3D93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139871"/>
        <c:axId val="1879069071"/>
      </c:barChart>
      <c:catAx>
        <c:axId val="202013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069071"/>
        <c:crosses val="autoZero"/>
        <c:auto val="1"/>
        <c:lblAlgn val="ctr"/>
        <c:lblOffset val="100"/>
        <c:noMultiLvlLbl val="0"/>
      </c:catAx>
      <c:valAx>
        <c:axId val="18790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3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Sheet1!$B$18:$B$19</c:f>
              <c:strCache>
                <c:ptCount val="2"/>
                <c:pt idx="0">
                  <c:v>Count by Preferred Foot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Sheet1!$A$20:$A$21</c:f>
              <c:strCache>
                <c:ptCount val="2"/>
                <c:pt idx="0">
                  <c:v>Left</c:v>
                </c:pt>
                <c:pt idx="1">
                  <c:v>Right</c:v>
                </c:pt>
              </c:strCache>
            </c:strRef>
          </c:cat>
          <c:val>
            <c:numRef>
              <c:f>Sheet1!$B$20:$B$21</c:f>
              <c:numCache>
                <c:formatCode>General</c:formatCode>
                <c:ptCount val="2"/>
                <c:pt idx="0">
                  <c:v>131</c:v>
                </c:pt>
                <c:pt idx="1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4-48AA-8741-7E497EEE1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Sheet1!$B$24:$B$25</c:f>
              <c:strCache>
                <c:ptCount val="2"/>
                <c:pt idx="0">
                  <c:v>Overall Rating Band Distribution</c:v>
                </c:pt>
                <c:pt idx="1">
                  <c:v>Formula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Sheet1!$A$26:$A$30</c:f>
              <c:strCache>
                <c:ptCount val="5"/>
                <c:pt idx="0">
                  <c:v>Below 60</c:v>
                </c:pt>
                <c:pt idx="1">
                  <c:v>60–69</c:v>
                </c:pt>
                <c:pt idx="2">
                  <c:v>70–79</c:v>
                </c:pt>
                <c:pt idx="3">
                  <c:v>80–89</c:v>
                </c:pt>
                <c:pt idx="4">
                  <c:v>90-100</c:v>
                </c:pt>
              </c:strCache>
            </c:strRef>
          </c:cat>
          <c:val>
            <c:numRef>
              <c:f>Sheet1!$B$26:$B$30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485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6-47BE-8722-312A72062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044735"/>
        <c:axId val="1879162191"/>
      </c:barChart>
      <c:catAx>
        <c:axId val="201404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62191"/>
        <c:crosses val="autoZero"/>
        <c:auto val="1"/>
        <c:lblAlgn val="ctr"/>
        <c:lblOffset val="100"/>
        <c:noMultiLvlLbl val="0"/>
      </c:catAx>
      <c:valAx>
        <c:axId val="187916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4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14260717410328E-2"/>
          <c:y val="0.15782407407407409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Sheet1!$B$33:$B$34</c:f>
              <c:strCache>
                <c:ptCount val="2"/>
                <c:pt idx="0">
                  <c:v>Age Band Distribution</c:v>
                </c:pt>
                <c:pt idx="1">
                  <c:v>Formula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Sheet1!$A$35:$A$39</c:f>
              <c:strCache>
                <c:ptCount val="5"/>
                <c:pt idx="0">
                  <c:v>Under 20</c:v>
                </c:pt>
                <c:pt idx="1">
                  <c:v>20–24</c:v>
                </c:pt>
                <c:pt idx="2">
                  <c:v>25–28</c:v>
                </c:pt>
                <c:pt idx="3">
                  <c:v>29–32</c:v>
                </c:pt>
                <c:pt idx="4">
                  <c:v>33+</c:v>
                </c:pt>
              </c:strCache>
            </c:strRef>
          </c:cat>
          <c:val>
            <c:numRef>
              <c:f>Sheet1!$B$35:$B$39</c:f>
              <c:numCache>
                <c:formatCode>General</c:formatCode>
                <c:ptCount val="5"/>
                <c:pt idx="0">
                  <c:v>4</c:v>
                </c:pt>
                <c:pt idx="1">
                  <c:v>119</c:v>
                </c:pt>
                <c:pt idx="2">
                  <c:v>197</c:v>
                </c:pt>
                <c:pt idx="3">
                  <c:v>119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F-44C8-A615-12982D522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125023"/>
        <c:axId val="1879119471"/>
      </c:barChart>
      <c:catAx>
        <c:axId val="20201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19471"/>
        <c:crosses val="autoZero"/>
        <c:auto val="1"/>
        <c:lblAlgn val="ctr"/>
        <c:lblOffset val="100"/>
        <c:noMultiLvlLbl val="0"/>
      </c:catAx>
      <c:valAx>
        <c:axId val="18791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8"/>
          <c:w val="0.90297462817147855"/>
          <c:h val="0.6895217264508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Sheet1!$B$42:$B$43</c:f>
              <c:strCache>
                <c:ptCount val="2"/>
                <c:pt idx="0">
                  <c:v>Count by Position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Sheet1!$A$44:$A$70</c:f>
              <c:strCache>
                <c:ptCount val="27"/>
                <c:pt idx="0">
                  <c:v>CAM</c:v>
                </c:pt>
                <c:pt idx="1">
                  <c:v>CB</c:v>
                </c:pt>
                <c:pt idx="2">
                  <c:v>CDM</c:v>
                </c:pt>
                <c:pt idx="3">
                  <c:v>CF</c:v>
                </c:pt>
                <c:pt idx="4">
                  <c:v>CM</c:v>
                </c:pt>
                <c:pt idx="5">
                  <c:v>GK</c:v>
                </c:pt>
                <c:pt idx="6">
                  <c:v>LB</c:v>
                </c:pt>
                <c:pt idx="7">
                  <c:v>LCB</c:v>
                </c:pt>
                <c:pt idx="8">
                  <c:v>LCM</c:v>
                </c:pt>
                <c:pt idx="9">
                  <c:v>LDM</c:v>
                </c:pt>
                <c:pt idx="10">
                  <c:v>LF</c:v>
                </c:pt>
                <c:pt idx="11">
                  <c:v>LM</c:v>
                </c:pt>
                <c:pt idx="12">
                  <c:v>LS</c:v>
                </c:pt>
                <c:pt idx="13">
                  <c:v>LW</c:v>
                </c:pt>
                <c:pt idx="14">
                  <c:v>LWB</c:v>
                </c:pt>
                <c:pt idx="15">
                  <c:v>RAM</c:v>
                </c:pt>
                <c:pt idx="16">
                  <c:v>RB</c:v>
                </c:pt>
                <c:pt idx="17">
                  <c:v>RCB</c:v>
                </c:pt>
                <c:pt idx="18">
                  <c:v>RCM</c:v>
                </c:pt>
                <c:pt idx="19">
                  <c:v>RDM</c:v>
                </c:pt>
                <c:pt idx="20">
                  <c:v>RF</c:v>
                </c:pt>
                <c:pt idx="21">
                  <c:v>RM</c:v>
                </c:pt>
                <c:pt idx="22">
                  <c:v>RS</c:v>
                </c:pt>
                <c:pt idx="23">
                  <c:v>RW</c:v>
                </c:pt>
                <c:pt idx="24">
                  <c:v>RWB</c:v>
                </c:pt>
                <c:pt idx="25">
                  <c:v>ST</c:v>
                </c:pt>
                <c:pt idx="26">
                  <c:v>LAM</c:v>
                </c:pt>
              </c:strCache>
            </c:strRef>
          </c:cat>
          <c:val>
            <c:numRef>
              <c:f>Sheet1!$B$44:$B$70</c:f>
              <c:numCache>
                <c:formatCode>General</c:formatCode>
                <c:ptCount val="27"/>
                <c:pt idx="0">
                  <c:v>32</c:v>
                </c:pt>
                <c:pt idx="1">
                  <c:v>29</c:v>
                </c:pt>
                <c:pt idx="2">
                  <c:v>19</c:v>
                </c:pt>
                <c:pt idx="3">
                  <c:v>5</c:v>
                </c:pt>
                <c:pt idx="4">
                  <c:v>26</c:v>
                </c:pt>
                <c:pt idx="5">
                  <c:v>57</c:v>
                </c:pt>
                <c:pt idx="6">
                  <c:v>24</c:v>
                </c:pt>
                <c:pt idx="7">
                  <c:v>28</c:v>
                </c:pt>
                <c:pt idx="8">
                  <c:v>20</c:v>
                </c:pt>
                <c:pt idx="9">
                  <c:v>11</c:v>
                </c:pt>
                <c:pt idx="10">
                  <c:v>4</c:v>
                </c:pt>
                <c:pt idx="11">
                  <c:v>33</c:v>
                </c:pt>
                <c:pt idx="12">
                  <c:v>16</c:v>
                </c:pt>
                <c:pt idx="13">
                  <c:v>10</c:v>
                </c:pt>
                <c:pt idx="14">
                  <c:v>1</c:v>
                </c:pt>
                <c:pt idx="15">
                  <c:v>2</c:v>
                </c:pt>
                <c:pt idx="16">
                  <c:v>23</c:v>
                </c:pt>
                <c:pt idx="17">
                  <c:v>29</c:v>
                </c:pt>
                <c:pt idx="18">
                  <c:v>19</c:v>
                </c:pt>
                <c:pt idx="19">
                  <c:v>8</c:v>
                </c:pt>
                <c:pt idx="20">
                  <c:v>2</c:v>
                </c:pt>
                <c:pt idx="21">
                  <c:v>30</c:v>
                </c:pt>
                <c:pt idx="22">
                  <c:v>10</c:v>
                </c:pt>
                <c:pt idx="23">
                  <c:v>19</c:v>
                </c:pt>
                <c:pt idx="24">
                  <c:v>2</c:v>
                </c:pt>
                <c:pt idx="25">
                  <c:v>38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8-41E5-8CC5-EA3F49D86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898671"/>
        <c:axId val="2089755055"/>
      </c:barChart>
      <c:catAx>
        <c:axId val="209289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755055"/>
        <c:crosses val="autoZero"/>
        <c:auto val="1"/>
        <c:lblAlgn val="ctr"/>
        <c:lblOffset val="100"/>
        <c:noMultiLvlLbl val="0"/>
      </c:catAx>
      <c:valAx>
        <c:axId val="208975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9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64770</xdr:rowOff>
    </xdr:from>
    <xdr:to>
      <xdr:col>14</xdr:col>
      <xdr:colOff>312420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1764E-E56A-ADFD-E99E-C06ABE61D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14</xdr:row>
      <xdr:rowOff>156210</xdr:rowOff>
    </xdr:from>
    <xdr:to>
      <xdr:col>14</xdr:col>
      <xdr:colOff>320040</xdr:colOff>
      <xdr:row>29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5BC835-FA0E-3CA5-B9AB-B821655D2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76200</xdr:colOff>
      <xdr:row>31</xdr:row>
      <xdr:rowOff>95250</xdr:rowOff>
    </xdr:from>
    <xdr:to>
      <xdr:col>10</xdr:col>
      <xdr:colOff>198120</xdr:colOff>
      <xdr:row>46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1CD474-F890-C198-FDF2-E1152DAFE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</xdr:colOff>
      <xdr:row>31</xdr:row>
      <xdr:rowOff>102870</xdr:rowOff>
    </xdr:from>
    <xdr:to>
      <xdr:col>18</xdr:col>
      <xdr:colOff>320040</xdr:colOff>
      <xdr:row>46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E051AB-C4BC-3A2E-C6AC-7D82D7E9A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129540</xdr:colOff>
      <xdr:row>48</xdr:row>
      <xdr:rowOff>171450</xdr:rowOff>
    </xdr:from>
    <xdr:to>
      <xdr:col>10</xdr:col>
      <xdr:colOff>251460</xdr:colOff>
      <xdr:row>63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94D2D8-A853-EEE4-4364-23C9C2B9A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F0D0-F256-4E43-B4F9-BA47CFEA5DE9}">
  <dimension ref="A1:H500"/>
  <sheetViews>
    <sheetView workbookViewId="0">
      <selection activeCell="D23" sqref="D23"/>
    </sheetView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158023</v>
      </c>
      <c r="B2" t="s">
        <v>8</v>
      </c>
      <c r="C2">
        <v>31</v>
      </c>
      <c r="D2">
        <v>94</v>
      </c>
      <c r="E2">
        <v>94</v>
      </c>
      <c r="F2" t="s">
        <v>9</v>
      </c>
      <c r="G2" t="s">
        <v>10</v>
      </c>
      <c r="H2">
        <v>95</v>
      </c>
    </row>
    <row r="3" spans="1:8">
      <c r="A3">
        <v>20801</v>
      </c>
      <c r="B3" t="s">
        <v>11</v>
      </c>
      <c r="C3">
        <v>33</v>
      </c>
      <c r="D3">
        <v>94</v>
      </c>
      <c r="E3">
        <v>94</v>
      </c>
      <c r="F3" t="s">
        <v>12</v>
      </c>
      <c r="G3" t="s">
        <v>13</v>
      </c>
      <c r="H3">
        <v>94</v>
      </c>
    </row>
    <row r="4" spans="1:8">
      <c r="A4">
        <v>190871</v>
      </c>
      <c r="B4" t="s">
        <v>14</v>
      </c>
      <c r="C4">
        <v>26</v>
      </c>
      <c r="D4">
        <v>92</v>
      </c>
      <c r="E4">
        <v>93</v>
      </c>
      <c r="F4" t="s">
        <v>12</v>
      </c>
      <c r="G4" t="s">
        <v>15</v>
      </c>
      <c r="H4">
        <v>87</v>
      </c>
    </row>
    <row r="5" spans="1:8">
      <c r="A5">
        <v>193080</v>
      </c>
      <c r="B5" t="s">
        <v>16</v>
      </c>
      <c r="C5">
        <v>27</v>
      </c>
      <c r="D5">
        <v>91</v>
      </c>
      <c r="E5">
        <v>93</v>
      </c>
      <c r="F5" t="s">
        <v>12</v>
      </c>
      <c r="G5" t="s">
        <v>17</v>
      </c>
      <c r="H5">
        <v>13</v>
      </c>
    </row>
    <row r="6" spans="1:8">
      <c r="A6">
        <v>192985</v>
      </c>
      <c r="B6" t="s">
        <v>18</v>
      </c>
      <c r="C6">
        <v>27</v>
      </c>
      <c r="D6">
        <v>91</v>
      </c>
      <c r="E6">
        <v>92</v>
      </c>
      <c r="F6" t="s">
        <v>12</v>
      </c>
      <c r="G6" t="s">
        <v>19</v>
      </c>
      <c r="H6">
        <v>82</v>
      </c>
    </row>
    <row r="7" spans="1:8">
      <c r="A7">
        <v>183277</v>
      </c>
      <c r="B7" t="s">
        <v>20</v>
      </c>
      <c r="C7">
        <v>27</v>
      </c>
      <c r="D7">
        <v>91</v>
      </c>
      <c r="E7">
        <v>91</v>
      </c>
      <c r="F7" t="s">
        <v>12</v>
      </c>
      <c r="G7" t="s">
        <v>21</v>
      </c>
      <c r="H7">
        <v>84</v>
      </c>
    </row>
    <row r="8" spans="1:8">
      <c r="A8">
        <v>177003</v>
      </c>
      <c r="B8" t="s">
        <v>22</v>
      </c>
      <c r="C8">
        <v>32</v>
      </c>
      <c r="D8">
        <v>91</v>
      </c>
      <c r="E8">
        <v>91</v>
      </c>
      <c r="F8" t="s">
        <v>12</v>
      </c>
      <c r="G8" t="s">
        <v>19</v>
      </c>
      <c r="H8">
        <v>72</v>
      </c>
    </row>
    <row r="9" spans="1:8">
      <c r="A9">
        <v>176580</v>
      </c>
      <c r="B9" t="s">
        <v>23</v>
      </c>
      <c r="C9">
        <v>31</v>
      </c>
      <c r="D9">
        <v>91</v>
      </c>
      <c r="E9">
        <v>91</v>
      </c>
      <c r="F9" t="s">
        <v>12</v>
      </c>
      <c r="G9" t="s">
        <v>24</v>
      </c>
      <c r="H9">
        <v>93</v>
      </c>
    </row>
    <row r="10" spans="1:8">
      <c r="A10">
        <v>155862</v>
      </c>
      <c r="B10" t="s">
        <v>25</v>
      </c>
      <c r="C10">
        <v>32</v>
      </c>
      <c r="D10">
        <v>91</v>
      </c>
      <c r="E10">
        <v>91</v>
      </c>
      <c r="F10" t="s">
        <v>12</v>
      </c>
      <c r="G10" t="s">
        <v>26</v>
      </c>
      <c r="H10">
        <v>60</v>
      </c>
    </row>
    <row r="11" spans="1:8">
      <c r="A11">
        <v>200389</v>
      </c>
      <c r="B11" t="s">
        <v>27</v>
      </c>
      <c r="C11">
        <v>25</v>
      </c>
      <c r="D11">
        <v>90</v>
      </c>
      <c r="E11">
        <v>93</v>
      </c>
      <c r="F11" t="s">
        <v>12</v>
      </c>
      <c r="G11" t="s">
        <v>17</v>
      </c>
      <c r="H11">
        <v>11</v>
      </c>
    </row>
    <row r="12" spans="1:8">
      <c r="A12">
        <v>188545</v>
      </c>
      <c r="B12" t="s">
        <v>28</v>
      </c>
      <c r="C12">
        <v>29</v>
      </c>
      <c r="D12">
        <v>90</v>
      </c>
      <c r="E12">
        <v>90</v>
      </c>
      <c r="F12" t="s">
        <v>12</v>
      </c>
      <c r="G12" t="s">
        <v>13</v>
      </c>
      <c r="H12">
        <v>91</v>
      </c>
    </row>
    <row r="13" spans="1:8">
      <c r="A13">
        <v>182521</v>
      </c>
      <c r="B13" t="s">
        <v>29</v>
      </c>
      <c r="C13">
        <v>28</v>
      </c>
      <c r="D13">
        <v>90</v>
      </c>
      <c r="E13">
        <v>90</v>
      </c>
      <c r="F13" t="s">
        <v>12</v>
      </c>
      <c r="G13" t="s">
        <v>30</v>
      </c>
      <c r="H13">
        <v>76</v>
      </c>
    </row>
    <row r="14" spans="1:8">
      <c r="A14">
        <v>182493</v>
      </c>
      <c r="B14" t="s">
        <v>31</v>
      </c>
      <c r="C14">
        <v>32</v>
      </c>
      <c r="D14">
        <v>90</v>
      </c>
      <c r="E14">
        <v>90</v>
      </c>
      <c r="F14" t="s">
        <v>12</v>
      </c>
      <c r="G14" t="s">
        <v>32</v>
      </c>
      <c r="H14">
        <v>42</v>
      </c>
    </row>
    <row r="15" spans="1:8">
      <c r="A15">
        <v>168542</v>
      </c>
      <c r="B15" t="s">
        <v>33</v>
      </c>
      <c r="C15">
        <v>32</v>
      </c>
      <c r="D15">
        <v>90</v>
      </c>
      <c r="E15">
        <v>90</v>
      </c>
      <c r="F15" t="s">
        <v>9</v>
      </c>
      <c r="G15" t="s">
        <v>30</v>
      </c>
      <c r="H15">
        <v>76</v>
      </c>
    </row>
    <row r="16" spans="1:8">
      <c r="A16">
        <v>215914</v>
      </c>
      <c r="B16" t="s">
        <v>34</v>
      </c>
      <c r="C16">
        <v>27</v>
      </c>
      <c r="D16">
        <v>89</v>
      </c>
      <c r="E16">
        <v>90</v>
      </c>
      <c r="F16" t="s">
        <v>12</v>
      </c>
      <c r="G16" t="s">
        <v>35</v>
      </c>
      <c r="H16">
        <v>65</v>
      </c>
    </row>
    <row r="17" spans="1:8">
      <c r="A17">
        <v>211110</v>
      </c>
      <c r="B17" t="s">
        <v>36</v>
      </c>
      <c r="C17">
        <v>24</v>
      </c>
      <c r="D17">
        <v>89</v>
      </c>
      <c r="E17">
        <v>94</v>
      </c>
      <c r="F17" t="s">
        <v>9</v>
      </c>
      <c r="G17" t="s">
        <v>21</v>
      </c>
      <c r="H17">
        <v>84</v>
      </c>
    </row>
    <row r="18" spans="1:8">
      <c r="A18">
        <v>202126</v>
      </c>
      <c r="B18" t="s">
        <v>37</v>
      </c>
      <c r="C18">
        <v>24</v>
      </c>
      <c r="D18">
        <v>89</v>
      </c>
      <c r="E18">
        <v>91</v>
      </c>
      <c r="F18" t="s">
        <v>12</v>
      </c>
      <c r="G18" t="s">
        <v>13</v>
      </c>
      <c r="H18">
        <v>94</v>
      </c>
    </row>
    <row r="19" spans="1:8">
      <c r="A19">
        <v>194765</v>
      </c>
      <c r="B19" t="s">
        <v>38</v>
      </c>
      <c r="C19">
        <v>27</v>
      </c>
      <c r="D19">
        <v>89</v>
      </c>
      <c r="E19">
        <v>90</v>
      </c>
      <c r="F19" t="s">
        <v>9</v>
      </c>
      <c r="G19" t="s">
        <v>39</v>
      </c>
      <c r="H19">
        <v>90</v>
      </c>
    </row>
    <row r="20" spans="1:8">
      <c r="A20">
        <v>192448</v>
      </c>
      <c r="B20" t="s">
        <v>40</v>
      </c>
      <c r="C20">
        <v>26</v>
      </c>
      <c r="D20">
        <v>89</v>
      </c>
      <c r="E20">
        <v>92</v>
      </c>
      <c r="F20" t="s">
        <v>12</v>
      </c>
      <c r="G20" t="s">
        <v>17</v>
      </c>
      <c r="H20">
        <v>14</v>
      </c>
    </row>
    <row r="21" spans="1:8">
      <c r="A21">
        <v>192119</v>
      </c>
      <c r="B21" t="s">
        <v>41</v>
      </c>
      <c r="C21">
        <v>26</v>
      </c>
      <c r="D21">
        <v>89</v>
      </c>
      <c r="E21">
        <v>90</v>
      </c>
      <c r="F21" t="s">
        <v>9</v>
      </c>
      <c r="G21" t="s">
        <v>17</v>
      </c>
      <c r="H21">
        <v>14</v>
      </c>
    </row>
    <row r="22" spans="1:8">
      <c r="A22">
        <v>189511</v>
      </c>
      <c r="B22" t="s">
        <v>42</v>
      </c>
      <c r="C22">
        <v>29</v>
      </c>
      <c r="D22">
        <v>89</v>
      </c>
      <c r="E22">
        <v>89</v>
      </c>
      <c r="F22" t="s">
        <v>12</v>
      </c>
      <c r="G22" t="s">
        <v>43</v>
      </c>
      <c r="H22">
        <v>67</v>
      </c>
    </row>
    <row r="23" spans="1:8">
      <c r="A23">
        <v>179813</v>
      </c>
      <c r="B23" t="s">
        <v>44</v>
      </c>
      <c r="C23">
        <v>31</v>
      </c>
      <c r="D23">
        <v>89</v>
      </c>
      <c r="E23">
        <v>89</v>
      </c>
      <c r="F23" t="s">
        <v>12</v>
      </c>
      <c r="G23" t="s">
        <v>45</v>
      </c>
      <c r="H23">
        <v>89</v>
      </c>
    </row>
    <row r="24" spans="1:8">
      <c r="A24">
        <v>167495</v>
      </c>
      <c r="B24" t="s">
        <v>46</v>
      </c>
      <c r="C24">
        <v>32</v>
      </c>
      <c r="D24">
        <v>89</v>
      </c>
      <c r="E24">
        <v>89</v>
      </c>
      <c r="F24" t="s">
        <v>12</v>
      </c>
      <c r="G24" t="s">
        <v>17</v>
      </c>
      <c r="H24">
        <v>13</v>
      </c>
    </row>
    <row r="25" spans="1:8">
      <c r="A25">
        <v>153079</v>
      </c>
      <c r="B25" t="s">
        <v>47</v>
      </c>
      <c r="C25">
        <v>30</v>
      </c>
      <c r="D25">
        <v>89</v>
      </c>
      <c r="E25">
        <v>89</v>
      </c>
      <c r="F25" t="s">
        <v>12</v>
      </c>
      <c r="G25" t="s">
        <v>13</v>
      </c>
      <c r="H25">
        <v>93</v>
      </c>
    </row>
    <row r="26" spans="1:8">
      <c r="A26">
        <v>138956</v>
      </c>
      <c r="B26" t="s">
        <v>48</v>
      </c>
      <c r="C26">
        <v>33</v>
      </c>
      <c r="D26">
        <v>89</v>
      </c>
      <c r="E26">
        <v>89</v>
      </c>
      <c r="F26" t="s">
        <v>9</v>
      </c>
      <c r="G26" t="s">
        <v>49</v>
      </c>
      <c r="H26">
        <v>33</v>
      </c>
    </row>
    <row r="27" spans="1:8">
      <c r="A27">
        <v>231747</v>
      </c>
      <c r="B27" t="s">
        <v>50</v>
      </c>
      <c r="C27">
        <v>19</v>
      </c>
      <c r="D27">
        <v>88</v>
      </c>
      <c r="E27">
        <v>95</v>
      </c>
      <c r="F27" t="s">
        <v>12</v>
      </c>
      <c r="G27" t="s">
        <v>51</v>
      </c>
      <c r="H27">
        <v>88</v>
      </c>
    </row>
    <row r="28" spans="1:8">
      <c r="A28">
        <v>209331</v>
      </c>
      <c r="B28" t="s">
        <v>52</v>
      </c>
      <c r="C28">
        <v>26</v>
      </c>
      <c r="D28">
        <v>88</v>
      </c>
      <c r="E28">
        <v>89</v>
      </c>
      <c r="F28" t="s">
        <v>9</v>
      </c>
      <c r="G28" t="s">
        <v>51</v>
      </c>
      <c r="H28">
        <v>90</v>
      </c>
    </row>
    <row r="29" spans="1:8">
      <c r="A29">
        <v>200145</v>
      </c>
      <c r="B29" t="s">
        <v>53</v>
      </c>
      <c r="C29">
        <v>26</v>
      </c>
      <c r="D29">
        <v>88</v>
      </c>
      <c r="E29">
        <v>90</v>
      </c>
      <c r="F29" t="s">
        <v>12</v>
      </c>
      <c r="G29" t="s">
        <v>43</v>
      </c>
      <c r="H29">
        <v>59</v>
      </c>
    </row>
    <row r="30" spans="1:8">
      <c r="A30">
        <v>198710</v>
      </c>
      <c r="B30" t="s">
        <v>54</v>
      </c>
      <c r="C30">
        <v>26</v>
      </c>
      <c r="D30">
        <v>88</v>
      </c>
      <c r="E30">
        <v>89</v>
      </c>
      <c r="F30" t="s">
        <v>9</v>
      </c>
      <c r="G30" t="s">
        <v>55</v>
      </c>
      <c r="H30">
        <v>83</v>
      </c>
    </row>
    <row r="31" spans="1:8">
      <c r="A31">
        <v>198219</v>
      </c>
      <c r="B31" t="s">
        <v>56</v>
      </c>
      <c r="C31">
        <v>27</v>
      </c>
      <c r="D31">
        <v>88</v>
      </c>
      <c r="E31">
        <v>88</v>
      </c>
      <c r="F31" t="s">
        <v>12</v>
      </c>
      <c r="G31" t="s">
        <v>15</v>
      </c>
      <c r="H31">
        <v>77</v>
      </c>
    </row>
    <row r="32" spans="1:8">
      <c r="A32">
        <v>197781</v>
      </c>
      <c r="B32" t="s">
        <v>57</v>
      </c>
      <c r="C32">
        <v>26</v>
      </c>
      <c r="D32">
        <v>88</v>
      </c>
      <c r="E32">
        <v>91</v>
      </c>
      <c r="F32" t="s">
        <v>12</v>
      </c>
      <c r="G32" t="s">
        <v>15</v>
      </c>
      <c r="H32">
        <v>79</v>
      </c>
    </row>
    <row r="33" spans="1:8">
      <c r="A33">
        <v>190460</v>
      </c>
      <c r="B33" t="s">
        <v>58</v>
      </c>
      <c r="C33">
        <v>26</v>
      </c>
      <c r="D33">
        <v>88</v>
      </c>
      <c r="E33">
        <v>91</v>
      </c>
      <c r="F33" t="s">
        <v>12</v>
      </c>
      <c r="G33" t="s">
        <v>39</v>
      </c>
      <c r="H33">
        <v>80</v>
      </c>
    </row>
    <row r="34" spans="1:8">
      <c r="A34">
        <v>189242</v>
      </c>
      <c r="B34" t="s">
        <v>59</v>
      </c>
      <c r="C34">
        <v>26</v>
      </c>
      <c r="D34">
        <v>88</v>
      </c>
      <c r="E34">
        <v>89</v>
      </c>
      <c r="F34" t="s">
        <v>12</v>
      </c>
      <c r="G34" t="s">
        <v>15</v>
      </c>
      <c r="H34">
        <v>79</v>
      </c>
    </row>
    <row r="35" spans="1:8">
      <c r="A35">
        <v>188567</v>
      </c>
      <c r="B35" t="s">
        <v>60</v>
      </c>
      <c r="C35">
        <v>29</v>
      </c>
      <c r="D35">
        <v>88</v>
      </c>
      <c r="E35">
        <v>88</v>
      </c>
      <c r="F35" t="s">
        <v>12</v>
      </c>
      <c r="G35" t="s">
        <v>61</v>
      </c>
      <c r="H35">
        <v>88</v>
      </c>
    </row>
    <row r="36" spans="1:8">
      <c r="A36">
        <v>178603</v>
      </c>
      <c r="B36" t="s">
        <v>62</v>
      </c>
      <c r="C36">
        <v>29</v>
      </c>
      <c r="D36">
        <v>88</v>
      </c>
      <c r="E36">
        <v>88</v>
      </c>
      <c r="F36" t="s">
        <v>12</v>
      </c>
      <c r="G36" t="s">
        <v>49</v>
      </c>
      <c r="H36">
        <v>55</v>
      </c>
    </row>
    <row r="37" spans="1:8">
      <c r="A37">
        <v>176676</v>
      </c>
      <c r="B37" t="s">
        <v>63</v>
      </c>
      <c r="C37">
        <v>30</v>
      </c>
      <c r="D37">
        <v>88</v>
      </c>
      <c r="E37">
        <v>88</v>
      </c>
      <c r="F37" t="s">
        <v>9</v>
      </c>
      <c r="G37" t="s">
        <v>64</v>
      </c>
      <c r="H37">
        <v>70</v>
      </c>
    </row>
    <row r="38" spans="1:8">
      <c r="A38">
        <v>173731</v>
      </c>
      <c r="B38" t="s">
        <v>65</v>
      </c>
      <c r="C38">
        <v>28</v>
      </c>
      <c r="D38">
        <v>88</v>
      </c>
      <c r="E38">
        <v>88</v>
      </c>
      <c r="F38" t="s">
        <v>9</v>
      </c>
      <c r="G38" t="s">
        <v>13</v>
      </c>
      <c r="H38">
        <v>86</v>
      </c>
    </row>
    <row r="39" spans="1:8">
      <c r="A39">
        <v>167948</v>
      </c>
      <c r="B39" t="s">
        <v>66</v>
      </c>
      <c r="C39">
        <v>31</v>
      </c>
      <c r="D39">
        <v>88</v>
      </c>
      <c r="E39">
        <v>88</v>
      </c>
      <c r="F39" t="s">
        <v>9</v>
      </c>
      <c r="G39" t="s">
        <v>17</v>
      </c>
      <c r="H39">
        <v>10</v>
      </c>
    </row>
    <row r="40" spans="1:8">
      <c r="A40">
        <v>167664</v>
      </c>
      <c r="B40" t="s">
        <v>67</v>
      </c>
      <c r="C40">
        <v>30</v>
      </c>
      <c r="D40">
        <v>88</v>
      </c>
      <c r="E40">
        <v>88</v>
      </c>
      <c r="F40" t="s">
        <v>12</v>
      </c>
      <c r="G40" t="s">
        <v>45</v>
      </c>
      <c r="H40">
        <v>92</v>
      </c>
    </row>
    <row r="41" spans="1:8">
      <c r="A41">
        <v>164240</v>
      </c>
      <c r="B41" t="s">
        <v>68</v>
      </c>
      <c r="C41">
        <v>33</v>
      </c>
      <c r="D41">
        <v>88</v>
      </c>
      <c r="E41">
        <v>88</v>
      </c>
      <c r="F41" t="s">
        <v>12</v>
      </c>
      <c r="G41" t="s">
        <v>26</v>
      </c>
      <c r="H41">
        <v>38</v>
      </c>
    </row>
    <row r="42" spans="1:8">
      <c r="A42">
        <v>162835</v>
      </c>
      <c r="B42" t="s">
        <v>69</v>
      </c>
      <c r="C42">
        <v>33</v>
      </c>
      <c r="D42">
        <v>88</v>
      </c>
      <c r="E42">
        <v>88</v>
      </c>
      <c r="F42" t="s">
        <v>12</v>
      </c>
      <c r="G42" t="s">
        <v>17</v>
      </c>
      <c r="H42">
        <v>10</v>
      </c>
    </row>
    <row r="43" spans="1:8">
      <c r="A43">
        <v>1179</v>
      </c>
      <c r="B43" t="s">
        <v>70</v>
      </c>
      <c r="C43">
        <v>40</v>
      </c>
      <c r="D43">
        <v>88</v>
      </c>
      <c r="E43">
        <v>88</v>
      </c>
      <c r="F43" t="s">
        <v>12</v>
      </c>
      <c r="G43" t="s">
        <v>17</v>
      </c>
      <c r="H43">
        <v>15</v>
      </c>
    </row>
    <row r="44" spans="1:8">
      <c r="A44">
        <v>205600</v>
      </c>
      <c r="B44" t="s">
        <v>71</v>
      </c>
      <c r="C44">
        <v>24</v>
      </c>
      <c r="D44">
        <v>87</v>
      </c>
      <c r="E44">
        <v>92</v>
      </c>
      <c r="F44" t="s">
        <v>9</v>
      </c>
      <c r="G44" t="s">
        <v>32</v>
      </c>
      <c r="H44">
        <v>51</v>
      </c>
    </row>
    <row r="45" spans="1:8">
      <c r="A45">
        <v>201399</v>
      </c>
      <c r="B45" t="s">
        <v>72</v>
      </c>
      <c r="C45">
        <v>25</v>
      </c>
      <c r="D45">
        <v>87</v>
      </c>
      <c r="E45">
        <v>90</v>
      </c>
      <c r="F45" t="s">
        <v>12</v>
      </c>
      <c r="G45" t="s">
        <v>13</v>
      </c>
      <c r="H45">
        <v>91</v>
      </c>
    </row>
    <row r="46" spans="1:8">
      <c r="A46">
        <v>201024</v>
      </c>
      <c r="B46" t="s">
        <v>73</v>
      </c>
      <c r="C46">
        <v>27</v>
      </c>
      <c r="D46">
        <v>87</v>
      </c>
      <c r="E46">
        <v>90</v>
      </c>
      <c r="F46" t="s">
        <v>12</v>
      </c>
      <c r="G46" t="s">
        <v>49</v>
      </c>
      <c r="H46">
        <v>19</v>
      </c>
    </row>
    <row r="47" spans="1:8">
      <c r="A47">
        <v>195864</v>
      </c>
      <c r="B47" t="s">
        <v>74</v>
      </c>
      <c r="C47">
        <v>25</v>
      </c>
      <c r="D47">
        <v>87</v>
      </c>
      <c r="E47">
        <v>91</v>
      </c>
      <c r="F47" t="s">
        <v>12</v>
      </c>
      <c r="G47" t="s">
        <v>75</v>
      </c>
      <c r="H47">
        <v>73</v>
      </c>
    </row>
    <row r="48" spans="1:8">
      <c r="A48">
        <v>193041</v>
      </c>
      <c r="B48" t="s">
        <v>76</v>
      </c>
      <c r="C48">
        <v>31</v>
      </c>
      <c r="D48">
        <v>87</v>
      </c>
      <c r="E48">
        <v>87</v>
      </c>
      <c r="F48" t="s">
        <v>12</v>
      </c>
      <c r="G48" t="s">
        <v>17</v>
      </c>
      <c r="H48">
        <v>15</v>
      </c>
    </row>
    <row r="49" spans="1:8">
      <c r="A49">
        <v>192505</v>
      </c>
      <c r="B49" t="s">
        <v>77</v>
      </c>
      <c r="C49">
        <v>25</v>
      </c>
      <c r="D49">
        <v>87</v>
      </c>
      <c r="E49">
        <v>89</v>
      </c>
      <c r="F49" t="s">
        <v>9</v>
      </c>
      <c r="G49" t="s">
        <v>13</v>
      </c>
      <c r="H49">
        <v>87</v>
      </c>
    </row>
    <row r="50" spans="1:8">
      <c r="A50">
        <v>192387</v>
      </c>
      <c r="B50" t="s">
        <v>78</v>
      </c>
      <c r="C50">
        <v>28</v>
      </c>
      <c r="D50">
        <v>87</v>
      </c>
      <c r="E50">
        <v>87</v>
      </c>
      <c r="F50" t="s">
        <v>12</v>
      </c>
      <c r="G50" t="s">
        <v>13</v>
      </c>
      <c r="H50">
        <v>90</v>
      </c>
    </row>
    <row r="51" spans="1:8">
      <c r="A51">
        <v>189332</v>
      </c>
      <c r="B51" t="s">
        <v>79</v>
      </c>
      <c r="C51">
        <v>29</v>
      </c>
      <c r="D51">
        <v>87</v>
      </c>
      <c r="E51">
        <v>87</v>
      </c>
      <c r="F51" t="s">
        <v>9</v>
      </c>
      <c r="G51" t="s">
        <v>64</v>
      </c>
      <c r="H51">
        <v>73</v>
      </c>
    </row>
    <row r="52" spans="1:8">
      <c r="A52">
        <v>175943</v>
      </c>
      <c r="B52" t="s">
        <v>80</v>
      </c>
      <c r="C52">
        <v>31</v>
      </c>
      <c r="D52">
        <v>87</v>
      </c>
      <c r="E52">
        <v>87</v>
      </c>
      <c r="F52" t="s">
        <v>12</v>
      </c>
      <c r="G52" t="s">
        <v>10</v>
      </c>
      <c r="H52">
        <v>86</v>
      </c>
    </row>
    <row r="53" spans="1:8">
      <c r="A53">
        <v>172871</v>
      </c>
      <c r="B53" t="s">
        <v>81</v>
      </c>
      <c r="C53">
        <v>31</v>
      </c>
      <c r="D53">
        <v>87</v>
      </c>
      <c r="E53">
        <v>87</v>
      </c>
      <c r="F53" t="s">
        <v>9</v>
      </c>
      <c r="G53" t="s">
        <v>49</v>
      </c>
      <c r="H53">
        <v>56</v>
      </c>
    </row>
    <row r="54" spans="1:8">
      <c r="A54">
        <v>171877</v>
      </c>
      <c r="B54" t="s">
        <v>82</v>
      </c>
      <c r="C54">
        <v>30</v>
      </c>
      <c r="D54">
        <v>87</v>
      </c>
      <c r="E54">
        <v>87</v>
      </c>
      <c r="F54" t="s">
        <v>12</v>
      </c>
      <c r="G54" t="s">
        <v>30</v>
      </c>
      <c r="H54">
        <v>79</v>
      </c>
    </row>
    <row r="55" spans="1:8">
      <c r="A55">
        <v>168651</v>
      </c>
      <c r="B55" t="s">
        <v>83</v>
      </c>
      <c r="C55">
        <v>30</v>
      </c>
      <c r="D55">
        <v>87</v>
      </c>
      <c r="E55">
        <v>87</v>
      </c>
      <c r="F55" t="s">
        <v>12</v>
      </c>
      <c r="G55" t="s">
        <v>19</v>
      </c>
      <c r="H55">
        <v>83</v>
      </c>
    </row>
    <row r="56" spans="1:8">
      <c r="A56">
        <v>152729</v>
      </c>
      <c r="B56" t="s">
        <v>84</v>
      </c>
      <c r="C56">
        <v>31</v>
      </c>
      <c r="D56">
        <v>87</v>
      </c>
      <c r="E56">
        <v>87</v>
      </c>
      <c r="F56" t="s">
        <v>12</v>
      </c>
      <c r="G56" t="s">
        <v>26</v>
      </c>
      <c r="H56">
        <v>64</v>
      </c>
    </row>
    <row r="57" spans="1:8">
      <c r="A57">
        <v>222492</v>
      </c>
      <c r="B57" t="s">
        <v>85</v>
      </c>
      <c r="C57">
        <v>22</v>
      </c>
      <c r="D57">
        <v>86</v>
      </c>
      <c r="E57">
        <v>92</v>
      </c>
      <c r="F57" t="s">
        <v>9</v>
      </c>
      <c r="G57" t="s">
        <v>15</v>
      </c>
      <c r="H57">
        <v>81</v>
      </c>
    </row>
    <row r="58" spans="1:8">
      <c r="A58">
        <v>218667</v>
      </c>
      <c r="B58" t="s">
        <v>86</v>
      </c>
      <c r="C58">
        <v>23</v>
      </c>
      <c r="D58">
        <v>86</v>
      </c>
      <c r="E58">
        <v>91</v>
      </c>
      <c r="F58" t="s">
        <v>9</v>
      </c>
      <c r="G58" t="s">
        <v>87</v>
      </c>
      <c r="H58">
        <v>75</v>
      </c>
    </row>
    <row r="59" spans="1:8">
      <c r="A59">
        <v>210257</v>
      </c>
      <c r="B59" t="s">
        <v>88</v>
      </c>
      <c r="C59">
        <v>24</v>
      </c>
      <c r="D59">
        <v>86</v>
      </c>
      <c r="E59">
        <v>90</v>
      </c>
      <c r="F59" t="s">
        <v>9</v>
      </c>
      <c r="G59" t="s">
        <v>17</v>
      </c>
      <c r="H59">
        <v>14</v>
      </c>
    </row>
    <row r="60" spans="1:8">
      <c r="A60">
        <v>208722</v>
      </c>
      <c r="B60" t="s">
        <v>89</v>
      </c>
      <c r="C60">
        <v>26</v>
      </c>
      <c r="D60">
        <v>86</v>
      </c>
      <c r="E60">
        <v>87</v>
      </c>
      <c r="F60" t="s">
        <v>12</v>
      </c>
      <c r="G60" t="s">
        <v>61</v>
      </c>
      <c r="H60">
        <v>84</v>
      </c>
    </row>
    <row r="61" spans="1:8">
      <c r="A61">
        <v>203376</v>
      </c>
      <c r="B61" t="s">
        <v>90</v>
      </c>
      <c r="C61">
        <v>26</v>
      </c>
      <c r="D61">
        <v>86</v>
      </c>
      <c r="E61">
        <v>88</v>
      </c>
      <c r="F61" t="s">
        <v>12</v>
      </c>
      <c r="G61" t="s">
        <v>49</v>
      </c>
      <c r="H61">
        <v>52</v>
      </c>
    </row>
    <row r="62" spans="1:8">
      <c r="A62">
        <v>202652</v>
      </c>
      <c r="B62" t="s">
        <v>91</v>
      </c>
      <c r="C62">
        <v>23</v>
      </c>
      <c r="D62">
        <v>86</v>
      </c>
      <c r="E62">
        <v>89</v>
      </c>
      <c r="F62" t="s">
        <v>12</v>
      </c>
      <c r="G62" t="s">
        <v>87</v>
      </c>
      <c r="H62">
        <v>77</v>
      </c>
    </row>
    <row r="63" spans="1:8">
      <c r="A63">
        <v>201942</v>
      </c>
      <c r="B63" t="s">
        <v>92</v>
      </c>
      <c r="C63">
        <v>26</v>
      </c>
      <c r="D63">
        <v>86</v>
      </c>
      <c r="E63">
        <v>87</v>
      </c>
      <c r="F63" t="s">
        <v>12</v>
      </c>
      <c r="G63" t="s">
        <v>39</v>
      </c>
      <c r="H63">
        <v>87</v>
      </c>
    </row>
    <row r="64" spans="1:8">
      <c r="A64">
        <v>201535</v>
      </c>
      <c r="B64" t="s">
        <v>93</v>
      </c>
      <c r="C64">
        <v>25</v>
      </c>
      <c r="D64">
        <v>86</v>
      </c>
      <c r="E64">
        <v>91</v>
      </c>
      <c r="F64" t="s">
        <v>12</v>
      </c>
      <c r="G64" t="s">
        <v>26</v>
      </c>
      <c r="H64">
        <v>40</v>
      </c>
    </row>
    <row r="65" spans="1:8">
      <c r="A65">
        <v>199556</v>
      </c>
      <c r="B65" t="s">
        <v>94</v>
      </c>
      <c r="C65">
        <v>25</v>
      </c>
      <c r="D65">
        <v>86</v>
      </c>
      <c r="E65">
        <v>89</v>
      </c>
      <c r="F65" t="s">
        <v>12</v>
      </c>
      <c r="G65" t="s">
        <v>30</v>
      </c>
      <c r="H65">
        <v>60</v>
      </c>
    </row>
    <row r="66" spans="1:8">
      <c r="A66">
        <v>191043</v>
      </c>
      <c r="B66" t="s">
        <v>95</v>
      </c>
      <c r="C66">
        <v>27</v>
      </c>
      <c r="D66">
        <v>86</v>
      </c>
      <c r="E66">
        <v>86</v>
      </c>
      <c r="F66" t="s">
        <v>9</v>
      </c>
      <c r="G66" t="s">
        <v>64</v>
      </c>
      <c r="H66">
        <v>55</v>
      </c>
    </row>
    <row r="67" spans="1:8">
      <c r="A67">
        <v>190483</v>
      </c>
      <c r="B67" t="s">
        <v>96</v>
      </c>
      <c r="C67">
        <v>27</v>
      </c>
      <c r="D67">
        <v>86</v>
      </c>
      <c r="E67">
        <v>86</v>
      </c>
      <c r="F67" t="s">
        <v>9</v>
      </c>
      <c r="G67" t="s">
        <v>61</v>
      </c>
      <c r="H67">
        <v>67</v>
      </c>
    </row>
    <row r="68" spans="1:8">
      <c r="A68">
        <v>189596</v>
      </c>
      <c r="B68" t="s">
        <v>97</v>
      </c>
      <c r="C68">
        <v>28</v>
      </c>
      <c r="D68">
        <v>86</v>
      </c>
      <c r="E68">
        <v>86</v>
      </c>
      <c r="F68" t="s">
        <v>12</v>
      </c>
      <c r="G68" t="s">
        <v>39</v>
      </c>
      <c r="H68">
        <v>87</v>
      </c>
    </row>
    <row r="69" spans="1:8">
      <c r="A69">
        <v>189509</v>
      </c>
      <c r="B69" t="s">
        <v>98</v>
      </c>
      <c r="C69">
        <v>27</v>
      </c>
      <c r="D69">
        <v>86</v>
      </c>
      <c r="E69">
        <v>86</v>
      </c>
      <c r="F69" t="s">
        <v>12</v>
      </c>
      <c r="G69" t="s">
        <v>99</v>
      </c>
      <c r="H69">
        <v>69</v>
      </c>
    </row>
    <row r="70" spans="1:8">
      <c r="A70">
        <v>188350</v>
      </c>
      <c r="B70" t="s">
        <v>100</v>
      </c>
      <c r="C70">
        <v>29</v>
      </c>
      <c r="D70">
        <v>86</v>
      </c>
      <c r="E70">
        <v>86</v>
      </c>
      <c r="F70" t="s">
        <v>12</v>
      </c>
      <c r="G70" t="s">
        <v>61</v>
      </c>
      <c r="H70">
        <v>87</v>
      </c>
    </row>
    <row r="71" spans="1:8">
      <c r="A71">
        <v>184432</v>
      </c>
      <c r="B71" t="s">
        <v>101</v>
      </c>
      <c r="C71">
        <v>28</v>
      </c>
      <c r="D71">
        <v>86</v>
      </c>
      <c r="E71">
        <v>86</v>
      </c>
      <c r="F71" t="s">
        <v>12</v>
      </c>
      <c r="G71" t="s">
        <v>102</v>
      </c>
      <c r="H71">
        <v>46</v>
      </c>
    </row>
    <row r="72" spans="1:8">
      <c r="A72">
        <v>184344</v>
      </c>
      <c r="B72" t="s">
        <v>103</v>
      </c>
      <c r="C72">
        <v>31</v>
      </c>
      <c r="D72">
        <v>86</v>
      </c>
      <c r="E72">
        <v>86</v>
      </c>
      <c r="F72" t="s">
        <v>12</v>
      </c>
      <c r="G72" t="s">
        <v>26</v>
      </c>
      <c r="H72">
        <v>48</v>
      </c>
    </row>
    <row r="73" spans="1:8">
      <c r="A73">
        <v>184087</v>
      </c>
      <c r="B73" t="s">
        <v>104</v>
      </c>
      <c r="C73">
        <v>29</v>
      </c>
      <c r="D73">
        <v>86</v>
      </c>
      <c r="E73">
        <v>87</v>
      </c>
      <c r="F73" t="s">
        <v>12</v>
      </c>
      <c r="G73" t="s">
        <v>26</v>
      </c>
      <c r="H73">
        <v>45</v>
      </c>
    </row>
    <row r="74" spans="1:8">
      <c r="A74">
        <v>180206</v>
      </c>
      <c r="B74" t="s">
        <v>105</v>
      </c>
      <c r="C74">
        <v>28</v>
      </c>
      <c r="D74">
        <v>86</v>
      </c>
      <c r="E74">
        <v>86</v>
      </c>
      <c r="F74" t="s">
        <v>12</v>
      </c>
      <c r="G74" t="s">
        <v>43</v>
      </c>
      <c r="H74">
        <v>60</v>
      </c>
    </row>
    <row r="75" spans="1:8">
      <c r="A75">
        <v>177509</v>
      </c>
      <c r="B75" t="s">
        <v>106</v>
      </c>
      <c r="C75">
        <v>31</v>
      </c>
      <c r="D75">
        <v>86</v>
      </c>
      <c r="E75">
        <v>86</v>
      </c>
      <c r="F75" t="s">
        <v>12</v>
      </c>
      <c r="G75" t="s">
        <v>32</v>
      </c>
      <c r="H75">
        <v>47</v>
      </c>
    </row>
    <row r="76" spans="1:8">
      <c r="A76">
        <v>176635</v>
      </c>
      <c r="B76" t="s">
        <v>107</v>
      </c>
      <c r="C76">
        <v>29</v>
      </c>
      <c r="D76">
        <v>86</v>
      </c>
      <c r="E76">
        <v>86</v>
      </c>
      <c r="F76" t="s">
        <v>9</v>
      </c>
      <c r="G76" t="s">
        <v>39</v>
      </c>
      <c r="H76">
        <v>73</v>
      </c>
    </row>
    <row r="77" spans="1:8">
      <c r="A77">
        <v>135507</v>
      </c>
      <c r="B77" t="s">
        <v>108</v>
      </c>
      <c r="C77">
        <v>33</v>
      </c>
      <c r="D77">
        <v>86</v>
      </c>
      <c r="E77">
        <v>86</v>
      </c>
      <c r="F77" t="s">
        <v>12</v>
      </c>
      <c r="G77" t="s">
        <v>43</v>
      </c>
      <c r="H77">
        <v>69</v>
      </c>
    </row>
    <row r="78" spans="1:8">
      <c r="A78">
        <v>41</v>
      </c>
      <c r="B78" t="s">
        <v>109</v>
      </c>
      <c r="C78">
        <v>34</v>
      </c>
      <c r="D78">
        <v>86</v>
      </c>
      <c r="E78">
        <v>86</v>
      </c>
      <c r="F78" t="s">
        <v>12</v>
      </c>
      <c r="G78" t="s">
        <v>21</v>
      </c>
      <c r="H78">
        <v>70</v>
      </c>
    </row>
    <row r="79" spans="1:8">
      <c r="A79">
        <v>232363</v>
      </c>
      <c r="B79" t="s">
        <v>110</v>
      </c>
      <c r="C79">
        <v>23</v>
      </c>
      <c r="D79">
        <v>85</v>
      </c>
      <c r="E79">
        <v>92</v>
      </c>
      <c r="F79" t="s">
        <v>12</v>
      </c>
      <c r="G79" t="s">
        <v>49</v>
      </c>
      <c r="H79">
        <v>42</v>
      </c>
    </row>
    <row r="80" spans="1:8">
      <c r="A80">
        <v>223848</v>
      </c>
      <c r="B80" t="s">
        <v>111</v>
      </c>
      <c r="C80">
        <v>23</v>
      </c>
      <c r="D80">
        <v>85</v>
      </c>
      <c r="E80">
        <v>90</v>
      </c>
      <c r="F80" t="s">
        <v>12</v>
      </c>
      <c r="G80" t="s">
        <v>99</v>
      </c>
      <c r="H80">
        <v>80</v>
      </c>
    </row>
    <row r="81" spans="1:8">
      <c r="A81">
        <v>220834</v>
      </c>
      <c r="B81" t="s">
        <v>112</v>
      </c>
      <c r="C81">
        <v>22</v>
      </c>
      <c r="D81">
        <v>85</v>
      </c>
      <c r="E81">
        <v>92</v>
      </c>
      <c r="F81" t="s">
        <v>9</v>
      </c>
      <c r="G81" t="s">
        <v>87</v>
      </c>
      <c r="H81">
        <v>82</v>
      </c>
    </row>
    <row r="82" spans="1:8">
      <c r="A82">
        <v>216594</v>
      </c>
      <c r="B82" t="s">
        <v>113</v>
      </c>
      <c r="C82">
        <v>24</v>
      </c>
      <c r="D82">
        <v>85</v>
      </c>
      <c r="E82">
        <v>89</v>
      </c>
      <c r="F82" t="s">
        <v>9</v>
      </c>
      <c r="G82" t="s">
        <v>39</v>
      </c>
      <c r="H82">
        <v>82</v>
      </c>
    </row>
    <row r="83" spans="1:8">
      <c r="A83">
        <v>212831</v>
      </c>
      <c r="B83" t="s">
        <v>114</v>
      </c>
      <c r="C83">
        <v>25</v>
      </c>
      <c r="D83">
        <v>85</v>
      </c>
      <c r="E83">
        <v>90</v>
      </c>
      <c r="F83" t="s">
        <v>12</v>
      </c>
      <c r="G83" t="s">
        <v>17</v>
      </c>
      <c r="H83">
        <v>13</v>
      </c>
    </row>
    <row r="84" spans="1:8">
      <c r="A84">
        <v>212622</v>
      </c>
      <c r="B84" t="s">
        <v>115</v>
      </c>
      <c r="C84">
        <v>23</v>
      </c>
      <c r="D84">
        <v>85</v>
      </c>
      <c r="E84">
        <v>88</v>
      </c>
      <c r="F84" t="s">
        <v>12</v>
      </c>
      <c r="G84" t="s">
        <v>19</v>
      </c>
      <c r="H84">
        <v>66</v>
      </c>
    </row>
    <row r="85" spans="1:8">
      <c r="A85">
        <v>208421</v>
      </c>
      <c r="B85" t="s">
        <v>116</v>
      </c>
      <c r="C85">
        <v>23</v>
      </c>
      <c r="D85">
        <v>85</v>
      </c>
      <c r="E85">
        <v>90</v>
      </c>
      <c r="F85" t="s">
        <v>9</v>
      </c>
      <c r="G85" t="s">
        <v>19</v>
      </c>
      <c r="H85">
        <v>78</v>
      </c>
    </row>
    <row r="86" spans="1:8">
      <c r="A86">
        <v>204485</v>
      </c>
      <c r="B86" t="s">
        <v>117</v>
      </c>
      <c r="C86">
        <v>27</v>
      </c>
      <c r="D86">
        <v>85</v>
      </c>
      <c r="E86">
        <v>85</v>
      </c>
      <c r="F86" t="s">
        <v>9</v>
      </c>
      <c r="G86" t="s">
        <v>87</v>
      </c>
      <c r="H86">
        <v>80</v>
      </c>
    </row>
    <row r="87" spans="1:8">
      <c r="A87">
        <v>197445</v>
      </c>
      <c r="B87" t="s">
        <v>118</v>
      </c>
      <c r="C87">
        <v>26</v>
      </c>
      <c r="D87">
        <v>85</v>
      </c>
      <c r="E87">
        <v>87</v>
      </c>
      <c r="F87" t="s">
        <v>9</v>
      </c>
      <c r="G87" t="s">
        <v>64</v>
      </c>
      <c r="H87">
        <v>63</v>
      </c>
    </row>
    <row r="88" spans="1:8">
      <c r="A88">
        <v>193747</v>
      </c>
      <c r="B88" t="s">
        <v>119</v>
      </c>
      <c r="C88">
        <v>26</v>
      </c>
      <c r="D88">
        <v>85</v>
      </c>
      <c r="E88">
        <v>86</v>
      </c>
      <c r="F88" t="s">
        <v>12</v>
      </c>
      <c r="G88" t="s">
        <v>61</v>
      </c>
      <c r="H88">
        <v>72</v>
      </c>
    </row>
    <row r="89" spans="1:8">
      <c r="A89">
        <v>193301</v>
      </c>
      <c r="B89" t="s">
        <v>120</v>
      </c>
      <c r="C89">
        <v>27</v>
      </c>
      <c r="D89">
        <v>85</v>
      </c>
      <c r="E89">
        <v>86</v>
      </c>
      <c r="F89" t="s">
        <v>12</v>
      </c>
      <c r="G89" t="s">
        <v>13</v>
      </c>
      <c r="H89">
        <v>88</v>
      </c>
    </row>
    <row r="90" spans="1:8">
      <c r="A90">
        <v>192774</v>
      </c>
      <c r="B90" t="s">
        <v>121</v>
      </c>
      <c r="C90">
        <v>27</v>
      </c>
      <c r="D90">
        <v>85</v>
      </c>
      <c r="E90">
        <v>87</v>
      </c>
      <c r="F90" t="s">
        <v>12</v>
      </c>
      <c r="G90" t="s">
        <v>49</v>
      </c>
      <c r="H90">
        <v>10</v>
      </c>
    </row>
    <row r="91" spans="1:8">
      <c r="A91">
        <v>192366</v>
      </c>
      <c r="B91" t="s">
        <v>122</v>
      </c>
      <c r="C91">
        <v>30</v>
      </c>
      <c r="D91">
        <v>85</v>
      </c>
      <c r="E91">
        <v>85</v>
      </c>
      <c r="F91" t="s">
        <v>12</v>
      </c>
      <c r="G91" t="s">
        <v>32</v>
      </c>
      <c r="H91">
        <v>54</v>
      </c>
    </row>
    <row r="92" spans="1:8">
      <c r="A92">
        <v>189513</v>
      </c>
      <c r="B92" t="s">
        <v>123</v>
      </c>
      <c r="C92">
        <v>29</v>
      </c>
      <c r="D92">
        <v>85</v>
      </c>
      <c r="E92">
        <v>85</v>
      </c>
      <c r="F92" t="s">
        <v>12</v>
      </c>
      <c r="G92" t="s">
        <v>19</v>
      </c>
      <c r="H92">
        <v>79</v>
      </c>
    </row>
    <row r="93" spans="1:8">
      <c r="A93">
        <v>187961</v>
      </c>
      <c r="B93" t="s">
        <v>124</v>
      </c>
      <c r="C93">
        <v>29</v>
      </c>
      <c r="D93">
        <v>85</v>
      </c>
      <c r="E93">
        <v>85</v>
      </c>
      <c r="F93" t="s">
        <v>12</v>
      </c>
      <c r="G93" t="s">
        <v>35</v>
      </c>
      <c r="H93">
        <v>81</v>
      </c>
    </row>
    <row r="94" spans="1:8">
      <c r="A94">
        <v>186153</v>
      </c>
      <c r="B94" t="s">
        <v>125</v>
      </c>
      <c r="C94">
        <v>28</v>
      </c>
      <c r="D94">
        <v>85</v>
      </c>
      <c r="E94">
        <v>87</v>
      </c>
      <c r="F94" t="s">
        <v>12</v>
      </c>
      <c r="G94" t="s">
        <v>17</v>
      </c>
      <c r="H94">
        <v>12</v>
      </c>
    </row>
    <row r="95" spans="1:8">
      <c r="A95">
        <v>184941</v>
      </c>
      <c r="B95" t="s">
        <v>126</v>
      </c>
      <c r="C95">
        <v>29</v>
      </c>
      <c r="D95">
        <v>85</v>
      </c>
      <c r="E95">
        <v>85</v>
      </c>
      <c r="F95" t="s">
        <v>12</v>
      </c>
      <c r="G95" t="s">
        <v>87</v>
      </c>
      <c r="H95">
        <v>80</v>
      </c>
    </row>
    <row r="96" spans="1:8">
      <c r="A96">
        <v>184267</v>
      </c>
      <c r="B96" t="s">
        <v>127</v>
      </c>
      <c r="C96">
        <v>28</v>
      </c>
      <c r="D96">
        <v>85</v>
      </c>
      <c r="E96">
        <v>85</v>
      </c>
      <c r="F96" t="s">
        <v>12</v>
      </c>
      <c r="G96" t="s">
        <v>61</v>
      </c>
      <c r="H96">
        <v>76</v>
      </c>
    </row>
    <row r="97" spans="1:8">
      <c r="A97">
        <v>183907</v>
      </c>
      <c r="B97" t="s">
        <v>128</v>
      </c>
      <c r="C97">
        <v>29</v>
      </c>
      <c r="D97">
        <v>85</v>
      </c>
      <c r="E97">
        <v>85</v>
      </c>
      <c r="F97" t="s">
        <v>12</v>
      </c>
      <c r="G97" t="s">
        <v>26</v>
      </c>
      <c r="H97">
        <v>34</v>
      </c>
    </row>
    <row r="98" spans="1:8">
      <c r="A98">
        <v>181872</v>
      </c>
      <c r="B98" t="s">
        <v>129</v>
      </c>
      <c r="C98">
        <v>31</v>
      </c>
      <c r="D98">
        <v>85</v>
      </c>
      <c r="E98">
        <v>85</v>
      </c>
      <c r="F98" t="s">
        <v>12</v>
      </c>
      <c r="G98" t="s">
        <v>39</v>
      </c>
      <c r="H98">
        <v>75</v>
      </c>
    </row>
    <row r="99" spans="1:8">
      <c r="A99">
        <v>181458</v>
      </c>
      <c r="B99" t="s">
        <v>130</v>
      </c>
      <c r="C99">
        <v>29</v>
      </c>
      <c r="D99">
        <v>85</v>
      </c>
      <c r="E99">
        <v>85</v>
      </c>
      <c r="F99" t="s">
        <v>12</v>
      </c>
      <c r="G99" t="s">
        <v>61</v>
      </c>
      <c r="H99">
        <v>79</v>
      </c>
    </row>
    <row r="100" spans="1:8">
      <c r="A100">
        <v>180930</v>
      </c>
      <c r="B100" t="s">
        <v>131</v>
      </c>
      <c r="C100">
        <v>32</v>
      </c>
      <c r="D100">
        <v>85</v>
      </c>
      <c r="E100">
        <v>85</v>
      </c>
      <c r="F100" t="s">
        <v>12</v>
      </c>
      <c r="G100" t="s">
        <v>13</v>
      </c>
      <c r="H100">
        <v>89</v>
      </c>
    </row>
    <row r="101" spans="1:8">
      <c r="A101">
        <v>179846</v>
      </c>
      <c r="B101" t="s">
        <v>132</v>
      </c>
      <c r="C101">
        <v>31</v>
      </c>
      <c r="D101">
        <v>85</v>
      </c>
      <c r="E101">
        <v>85</v>
      </c>
      <c r="F101" t="s">
        <v>12</v>
      </c>
      <c r="G101" t="s">
        <v>19</v>
      </c>
      <c r="H101">
        <v>72</v>
      </c>
    </row>
    <row r="102" spans="1:8">
      <c r="A102">
        <v>179844</v>
      </c>
      <c r="B102" t="s">
        <v>133</v>
      </c>
      <c r="C102">
        <v>29</v>
      </c>
      <c r="D102">
        <v>85</v>
      </c>
      <c r="E102">
        <v>85</v>
      </c>
      <c r="F102" t="s">
        <v>12</v>
      </c>
      <c r="G102" t="s">
        <v>45</v>
      </c>
      <c r="H102">
        <v>87</v>
      </c>
    </row>
    <row r="103" spans="1:8">
      <c r="A103">
        <v>178518</v>
      </c>
      <c r="B103" t="s">
        <v>134</v>
      </c>
      <c r="C103">
        <v>30</v>
      </c>
      <c r="D103">
        <v>85</v>
      </c>
      <c r="E103">
        <v>85</v>
      </c>
      <c r="F103" t="s">
        <v>12</v>
      </c>
      <c r="G103" t="s">
        <v>39</v>
      </c>
      <c r="H103">
        <v>75</v>
      </c>
    </row>
    <row r="104" spans="1:8">
      <c r="A104">
        <v>171919</v>
      </c>
      <c r="B104" t="s">
        <v>135</v>
      </c>
      <c r="C104">
        <v>35</v>
      </c>
      <c r="D104">
        <v>85</v>
      </c>
      <c r="E104">
        <v>85</v>
      </c>
      <c r="F104" t="s">
        <v>12</v>
      </c>
      <c r="G104" t="s">
        <v>32</v>
      </c>
      <c r="H104">
        <v>57</v>
      </c>
    </row>
    <row r="105" spans="1:8">
      <c r="A105">
        <v>170890</v>
      </c>
      <c r="B105" t="s">
        <v>136</v>
      </c>
      <c r="C105">
        <v>31</v>
      </c>
      <c r="D105">
        <v>85</v>
      </c>
      <c r="E105">
        <v>85</v>
      </c>
      <c r="F105" t="s">
        <v>9</v>
      </c>
      <c r="G105" t="s">
        <v>61</v>
      </c>
      <c r="H105">
        <v>64</v>
      </c>
    </row>
    <row r="106" spans="1:8">
      <c r="A106">
        <v>168609</v>
      </c>
      <c r="B106" t="s">
        <v>137</v>
      </c>
      <c r="C106">
        <v>33</v>
      </c>
      <c r="D106">
        <v>85</v>
      </c>
      <c r="E106">
        <v>85</v>
      </c>
      <c r="F106" t="s">
        <v>12</v>
      </c>
      <c r="G106" t="s">
        <v>32</v>
      </c>
      <c r="H106">
        <v>43</v>
      </c>
    </row>
    <row r="107" spans="1:8">
      <c r="A107">
        <v>165153</v>
      </c>
      <c r="B107" t="s">
        <v>138</v>
      </c>
      <c r="C107">
        <v>30</v>
      </c>
      <c r="D107">
        <v>85</v>
      </c>
      <c r="E107">
        <v>85</v>
      </c>
      <c r="F107" t="s">
        <v>12</v>
      </c>
      <c r="G107" t="s">
        <v>13</v>
      </c>
      <c r="H107">
        <v>81</v>
      </c>
    </row>
    <row r="108" spans="1:8">
      <c r="A108">
        <v>164169</v>
      </c>
      <c r="B108" t="s">
        <v>139</v>
      </c>
      <c r="C108">
        <v>32</v>
      </c>
      <c r="D108">
        <v>85</v>
      </c>
      <c r="E108">
        <v>85</v>
      </c>
      <c r="F108" t="s">
        <v>9</v>
      </c>
      <c r="G108" t="s">
        <v>64</v>
      </c>
      <c r="H108">
        <v>59</v>
      </c>
    </row>
    <row r="109" spans="1:8">
      <c r="A109">
        <v>139720</v>
      </c>
      <c r="B109" t="s">
        <v>140</v>
      </c>
      <c r="C109">
        <v>32</v>
      </c>
      <c r="D109">
        <v>85</v>
      </c>
      <c r="E109">
        <v>85</v>
      </c>
      <c r="F109" t="s">
        <v>12</v>
      </c>
      <c r="G109" t="s">
        <v>32</v>
      </c>
      <c r="H109">
        <v>45</v>
      </c>
    </row>
    <row r="110" spans="1:8">
      <c r="A110">
        <v>120533</v>
      </c>
      <c r="B110" t="s">
        <v>141</v>
      </c>
      <c r="C110">
        <v>35</v>
      </c>
      <c r="D110">
        <v>85</v>
      </c>
      <c r="E110">
        <v>85</v>
      </c>
      <c r="F110" t="s">
        <v>12</v>
      </c>
      <c r="G110" t="s">
        <v>26</v>
      </c>
      <c r="H110">
        <v>46</v>
      </c>
    </row>
    <row r="111" spans="1:8">
      <c r="A111">
        <v>41236</v>
      </c>
      <c r="B111" t="s">
        <v>142</v>
      </c>
      <c r="C111">
        <v>36</v>
      </c>
      <c r="D111">
        <v>85</v>
      </c>
      <c r="E111">
        <v>85</v>
      </c>
      <c r="F111" t="s">
        <v>12</v>
      </c>
      <c r="G111" t="s">
        <v>24</v>
      </c>
      <c r="H111">
        <v>86</v>
      </c>
    </row>
    <row r="112" spans="1:8">
      <c r="A112">
        <v>220793</v>
      </c>
      <c r="B112" t="s">
        <v>143</v>
      </c>
      <c r="C112">
        <v>22</v>
      </c>
      <c r="D112">
        <v>84</v>
      </c>
      <c r="E112">
        <v>88</v>
      </c>
      <c r="F112" t="s">
        <v>12</v>
      </c>
      <c r="G112" t="s">
        <v>26</v>
      </c>
      <c r="H112">
        <v>40</v>
      </c>
    </row>
    <row r="113" spans="1:8">
      <c r="A113">
        <v>216460</v>
      </c>
      <c r="B113" t="s">
        <v>144</v>
      </c>
      <c r="C113">
        <v>23</v>
      </c>
      <c r="D113">
        <v>84</v>
      </c>
      <c r="E113">
        <v>88</v>
      </c>
      <c r="F113" t="s">
        <v>12</v>
      </c>
      <c r="G113" t="s">
        <v>26</v>
      </c>
      <c r="H113">
        <v>37</v>
      </c>
    </row>
    <row r="114" spans="1:8">
      <c r="A114">
        <v>212462</v>
      </c>
      <c r="B114" t="s">
        <v>145</v>
      </c>
      <c r="C114">
        <v>25</v>
      </c>
      <c r="D114">
        <v>84</v>
      </c>
      <c r="E114">
        <v>87</v>
      </c>
      <c r="F114" t="s">
        <v>9</v>
      </c>
      <c r="G114" t="s">
        <v>64</v>
      </c>
      <c r="H114">
        <v>65</v>
      </c>
    </row>
    <row r="115" spans="1:8">
      <c r="A115">
        <v>212218</v>
      </c>
      <c r="B115" t="s">
        <v>146</v>
      </c>
      <c r="C115">
        <v>24</v>
      </c>
      <c r="D115">
        <v>84</v>
      </c>
      <c r="E115">
        <v>88</v>
      </c>
      <c r="F115" t="s">
        <v>9</v>
      </c>
      <c r="G115" t="s">
        <v>49</v>
      </c>
      <c r="H115">
        <v>45</v>
      </c>
    </row>
    <row r="116" spans="1:8">
      <c r="A116">
        <v>212198</v>
      </c>
      <c r="B116" t="s">
        <v>147</v>
      </c>
      <c r="C116">
        <v>23</v>
      </c>
      <c r="D116">
        <v>84</v>
      </c>
      <c r="E116">
        <v>88</v>
      </c>
      <c r="F116" t="s">
        <v>12</v>
      </c>
      <c r="G116" t="s">
        <v>30</v>
      </c>
      <c r="H116">
        <v>73</v>
      </c>
    </row>
    <row r="117" spans="1:8">
      <c r="A117">
        <v>212190</v>
      </c>
      <c r="B117" t="s">
        <v>148</v>
      </c>
      <c r="C117">
        <v>22</v>
      </c>
      <c r="D117">
        <v>84</v>
      </c>
      <c r="E117">
        <v>90</v>
      </c>
      <c r="F117" t="s">
        <v>12</v>
      </c>
      <c r="G117" t="s">
        <v>32</v>
      </c>
      <c r="H117">
        <v>20</v>
      </c>
    </row>
    <row r="118" spans="1:8">
      <c r="A118">
        <v>211300</v>
      </c>
      <c r="B118" t="s">
        <v>149</v>
      </c>
      <c r="C118">
        <v>22</v>
      </c>
      <c r="D118">
        <v>84</v>
      </c>
      <c r="E118">
        <v>90</v>
      </c>
      <c r="F118" t="s">
        <v>12</v>
      </c>
      <c r="G118" t="s">
        <v>15</v>
      </c>
      <c r="H118">
        <v>84</v>
      </c>
    </row>
    <row r="119" spans="1:8">
      <c r="A119">
        <v>211117</v>
      </c>
      <c r="B119" t="s">
        <v>150</v>
      </c>
      <c r="C119">
        <v>22</v>
      </c>
      <c r="D119">
        <v>84</v>
      </c>
      <c r="E119">
        <v>90</v>
      </c>
      <c r="F119" t="s">
        <v>12</v>
      </c>
      <c r="G119" t="s">
        <v>30</v>
      </c>
      <c r="H119">
        <v>83</v>
      </c>
    </row>
    <row r="120" spans="1:8">
      <c r="A120">
        <v>209499</v>
      </c>
      <c r="B120" t="s">
        <v>151</v>
      </c>
      <c r="C120">
        <v>24</v>
      </c>
      <c r="D120">
        <v>84</v>
      </c>
      <c r="E120">
        <v>88</v>
      </c>
      <c r="F120" t="s">
        <v>12</v>
      </c>
      <c r="G120" t="s">
        <v>43</v>
      </c>
      <c r="H120">
        <v>66</v>
      </c>
    </row>
    <row r="121" spans="1:8">
      <c r="A121">
        <v>207865</v>
      </c>
      <c r="B121" t="s">
        <v>152</v>
      </c>
      <c r="C121">
        <v>24</v>
      </c>
      <c r="D121">
        <v>84</v>
      </c>
      <c r="E121">
        <v>89</v>
      </c>
      <c r="F121" t="s">
        <v>12</v>
      </c>
      <c r="G121" t="s">
        <v>35</v>
      </c>
      <c r="H121">
        <v>33</v>
      </c>
    </row>
    <row r="122" spans="1:8">
      <c r="A122">
        <v>207566</v>
      </c>
      <c r="B122" t="s">
        <v>153</v>
      </c>
      <c r="C122">
        <v>26</v>
      </c>
      <c r="D122">
        <v>84</v>
      </c>
      <c r="E122">
        <v>86</v>
      </c>
      <c r="F122" t="s">
        <v>12</v>
      </c>
      <c r="G122" t="s">
        <v>43</v>
      </c>
      <c r="H122">
        <v>52</v>
      </c>
    </row>
    <row r="123" spans="1:8">
      <c r="A123">
        <v>205498</v>
      </c>
      <c r="B123" t="s">
        <v>154</v>
      </c>
      <c r="C123">
        <v>26</v>
      </c>
      <c r="D123">
        <v>84</v>
      </c>
      <c r="E123">
        <v>87</v>
      </c>
      <c r="F123" t="s">
        <v>12</v>
      </c>
      <c r="G123" t="s">
        <v>99</v>
      </c>
      <c r="H123">
        <v>57</v>
      </c>
    </row>
    <row r="124" spans="1:8">
      <c r="A124">
        <v>204970</v>
      </c>
      <c r="B124" t="s">
        <v>155</v>
      </c>
      <c r="C124">
        <v>25</v>
      </c>
      <c r="D124">
        <v>84</v>
      </c>
      <c r="E124">
        <v>87</v>
      </c>
      <c r="F124" t="s">
        <v>9</v>
      </c>
      <c r="G124" t="s">
        <v>51</v>
      </c>
      <c r="H124">
        <v>81</v>
      </c>
    </row>
    <row r="125" spans="1:8">
      <c r="A125">
        <v>204963</v>
      </c>
      <c r="B125" t="s">
        <v>156</v>
      </c>
      <c r="C125">
        <v>26</v>
      </c>
      <c r="D125">
        <v>84</v>
      </c>
      <c r="E125">
        <v>87</v>
      </c>
      <c r="F125" t="s">
        <v>12</v>
      </c>
      <c r="G125" t="s">
        <v>102</v>
      </c>
      <c r="H125">
        <v>41</v>
      </c>
    </row>
    <row r="126" spans="1:8">
      <c r="A126">
        <v>202556</v>
      </c>
      <c r="B126" t="s">
        <v>157</v>
      </c>
      <c r="C126">
        <v>24</v>
      </c>
      <c r="D126">
        <v>84</v>
      </c>
      <c r="E126">
        <v>89</v>
      </c>
      <c r="F126" t="s">
        <v>12</v>
      </c>
      <c r="G126" t="s">
        <v>13</v>
      </c>
      <c r="H126">
        <v>79</v>
      </c>
    </row>
    <row r="127" spans="1:8">
      <c r="A127">
        <v>200104</v>
      </c>
      <c r="B127" t="s">
        <v>158</v>
      </c>
      <c r="C127">
        <v>25</v>
      </c>
      <c r="D127">
        <v>84</v>
      </c>
      <c r="E127">
        <v>85</v>
      </c>
      <c r="F127" t="s">
        <v>12</v>
      </c>
      <c r="G127" t="s">
        <v>61</v>
      </c>
      <c r="H127">
        <v>85</v>
      </c>
    </row>
    <row r="128" spans="1:8">
      <c r="A128">
        <v>199482</v>
      </c>
      <c r="B128" t="s">
        <v>159</v>
      </c>
      <c r="C128">
        <v>27</v>
      </c>
      <c r="D128">
        <v>84</v>
      </c>
      <c r="E128">
        <v>86</v>
      </c>
      <c r="F128" t="s">
        <v>9</v>
      </c>
      <c r="G128" t="s">
        <v>17</v>
      </c>
      <c r="H128">
        <v>18</v>
      </c>
    </row>
    <row r="129" spans="1:8">
      <c r="A129">
        <v>198176</v>
      </c>
      <c r="B129" t="s">
        <v>160</v>
      </c>
      <c r="C129">
        <v>26</v>
      </c>
      <c r="D129">
        <v>84</v>
      </c>
      <c r="E129">
        <v>86</v>
      </c>
      <c r="F129" t="s">
        <v>12</v>
      </c>
      <c r="G129" t="s">
        <v>32</v>
      </c>
      <c r="H129">
        <v>25</v>
      </c>
    </row>
    <row r="130" spans="1:8">
      <c r="A130">
        <v>198009</v>
      </c>
      <c r="B130" t="s">
        <v>161</v>
      </c>
      <c r="C130">
        <v>25</v>
      </c>
      <c r="D130">
        <v>84</v>
      </c>
      <c r="E130">
        <v>89</v>
      </c>
      <c r="F130" t="s">
        <v>12</v>
      </c>
      <c r="G130" t="s">
        <v>17</v>
      </c>
      <c r="H130">
        <v>11</v>
      </c>
    </row>
    <row r="131" spans="1:8">
      <c r="A131">
        <v>193082</v>
      </c>
      <c r="B131" t="s">
        <v>162</v>
      </c>
      <c r="C131">
        <v>30</v>
      </c>
      <c r="D131">
        <v>84</v>
      </c>
      <c r="E131">
        <v>84</v>
      </c>
      <c r="F131" t="s">
        <v>12</v>
      </c>
      <c r="G131" t="s">
        <v>163</v>
      </c>
      <c r="H131">
        <v>67</v>
      </c>
    </row>
    <row r="132" spans="1:8">
      <c r="A132">
        <v>192629</v>
      </c>
      <c r="B132" t="s">
        <v>164</v>
      </c>
      <c r="C132">
        <v>30</v>
      </c>
      <c r="D132">
        <v>84</v>
      </c>
      <c r="E132">
        <v>84</v>
      </c>
      <c r="F132" t="s">
        <v>9</v>
      </c>
      <c r="G132" t="s">
        <v>13</v>
      </c>
      <c r="H132">
        <v>88</v>
      </c>
    </row>
    <row r="133" spans="1:8">
      <c r="A133">
        <v>192563</v>
      </c>
      <c r="B133" t="s">
        <v>165</v>
      </c>
      <c r="C133">
        <v>26</v>
      </c>
      <c r="D133">
        <v>84</v>
      </c>
      <c r="E133">
        <v>87</v>
      </c>
      <c r="F133" t="s">
        <v>12</v>
      </c>
      <c r="G133" t="s">
        <v>17</v>
      </c>
      <c r="H133">
        <v>9</v>
      </c>
    </row>
    <row r="134" spans="1:8">
      <c r="A134">
        <v>191202</v>
      </c>
      <c r="B134" t="s">
        <v>166</v>
      </c>
      <c r="C134">
        <v>29</v>
      </c>
      <c r="D134">
        <v>84</v>
      </c>
      <c r="E134">
        <v>84</v>
      </c>
      <c r="F134" t="s">
        <v>9</v>
      </c>
      <c r="G134" t="s">
        <v>43</v>
      </c>
      <c r="H134">
        <v>64</v>
      </c>
    </row>
    <row r="135" spans="1:8">
      <c r="A135">
        <v>190941</v>
      </c>
      <c r="B135" t="s">
        <v>167</v>
      </c>
      <c r="C135">
        <v>28</v>
      </c>
      <c r="D135">
        <v>84</v>
      </c>
      <c r="E135">
        <v>84</v>
      </c>
      <c r="F135" t="s">
        <v>12</v>
      </c>
      <c r="G135" t="s">
        <v>17</v>
      </c>
      <c r="H135">
        <v>11</v>
      </c>
    </row>
    <row r="136" spans="1:8">
      <c r="A136">
        <v>190584</v>
      </c>
      <c r="B136" t="s">
        <v>168</v>
      </c>
      <c r="C136">
        <v>28</v>
      </c>
      <c r="D136">
        <v>84</v>
      </c>
      <c r="E136">
        <v>84</v>
      </c>
      <c r="F136" t="s">
        <v>12</v>
      </c>
      <c r="G136" t="s">
        <v>75</v>
      </c>
      <c r="H136">
        <v>72</v>
      </c>
    </row>
    <row r="137" spans="1:8">
      <c r="A137">
        <v>188377</v>
      </c>
      <c r="B137" t="s">
        <v>169</v>
      </c>
      <c r="C137">
        <v>28</v>
      </c>
      <c r="D137">
        <v>84</v>
      </c>
      <c r="E137">
        <v>84</v>
      </c>
      <c r="F137" t="s">
        <v>12</v>
      </c>
      <c r="G137" t="s">
        <v>102</v>
      </c>
      <c r="H137">
        <v>51</v>
      </c>
    </row>
    <row r="138" spans="1:8">
      <c r="A138">
        <v>186942</v>
      </c>
      <c r="B138" t="s">
        <v>170</v>
      </c>
      <c r="C138">
        <v>27</v>
      </c>
      <c r="D138">
        <v>84</v>
      </c>
      <c r="E138">
        <v>84</v>
      </c>
      <c r="F138" t="s">
        <v>12</v>
      </c>
      <c r="G138" t="s">
        <v>99</v>
      </c>
      <c r="H138">
        <v>73</v>
      </c>
    </row>
    <row r="139" spans="1:8">
      <c r="A139">
        <v>185020</v>
      </c>
      <c r="B139" t="s">
        <v>171</v>
      </c>
      <c r="C139">
        <v>31</v>
      </c>
      <c r="D139">
        <v>84</v>
      </c>
      <c r="E139">
        <v>84</v>
      </c>
      <c r="F139" t="s">
        <v>12</v>
      </c>
      <c r="G139" t="s">
        <v>51</v>
      </c>
      <c r="H139">
        <v>78</v>
      </c>
    </row>
    <row r="140" spans="1:8">
      <c r="A140">
        <v>183898</v>
      </c>
      <c r="B140" t="s">
        <v>172</v>
      </c>
      <c r="C140">
        <v>30</v>
      </c>
      <c r="D140">
        <v>84</v>
      </c>
      <c r="E140">
        <v>84</v>
      </c>
      <c r="F140" t="s">
        <v>9</v>
      </c>
      <c r="G140" t="s">
        <v>51</v>
      </c>
      <c r="H140">
        <v>72</v>
      </c>
    </row>
    <row r="141" spans="1:8">
      <c r="A141">
        <v>181783</v>
      </c>
      <c r="B141" t="s">
        <v>173</v>
      </c>
      <c r="C141">
        <v>32</v>
      </c>
      <c r="D141">
        <v>84</v>
      </c>
      <c r="E141">
        <v>84</v>
      </c>
      <c r="F141" t="s">
        <v>12</v>
      </c>
      <c r="G141" t="s">
        <v>13</v>
      </c>
      <c r="H141">
        <v>84</v>
      </c>
    </row>
    <row r="142" spans="1:8">
      <c r="A142">
        <v>180403</v>
      </c>
      <c r="B142" t="s">
        <v>174</v>
      </c>
      <c r="C142">
        <v>29</v>
      </c>
      <c r="D142">
        <v>84</v>
      </c>
      <c r="E142">
        <v>84</v>
      </c>
      <c r="F142" t="s">
        <v>12</v>
      </c>
      <c r="G142" t="s">
        <v>87</v>
      </c>
      <c r="H142">
        <v>77</v>
      </c>
    </row>
    <row r="143" spans="1:8">
      <c r="A143">
        <v>178750</v>
      </c>
      <c r="B143" t="s">
        <v>175</v>
      </c>
      <c r="C143">
        <v>29</v>
      </c>
      <c r="D143">
        <v>84</v>
      </c>
      <c r="E143">
        <v>85</v>
      </c>
      <c r="F143" t="s">
        <v>12</v>
      </c>
      <c r="G143" t="s">
        <v>17</v>
      </c>
      <c r="H143">
        <v>14</v>
      </c>
    </row>
    <row r="144" spans="1:8">
      <c r="A144">
        <v>178562</v>
      </c>
      <c r="B144" t="s">
        <v>176</v>
      </c>
      <c r="C144">
        <v>30</v>
      </c>
      <c r="D144">
        <v>84</v>
      </c>
      <c r="E144">
        <v>84</v>
      </c>
      <c r="F144" t="s">
        <v>12</v>
      </c>
      <c r="G144" t="s">
        <v>43</v>
      </c>
      <c r="H144">
        <v>66</v>
      </c>
    </row>
    <row r="145" spans="1:8">
      <c r="A145">
        <v>177413</v>
      </c>
      <c r="B145" t="s">
        <v>177</v>
      </c>
      <c r="C145">
        <v>29</v>
      </c>
      <c r="D145">
        <v>84</v>
      </c>
      <c r="E145">
        <v>84</v>
      </c>
      <c r="F145" t="s">
        <v>12</v>
      </c>
      <c r="G145" t="s">
        <v>30</v>
      </c>
      <c r="H145">
        <v>71</v>
      </c>
    </row>
    <row r="146" spans="1:8">
      <c r="A146">
        <v>177388</v>
      </c>
      <c r="B146" t="s">
        <v>178</v>
      </c>
      <c r="C146">
        <v>31</v>
      </c>
      <c r="D146">
        <v>84</v>
      </c>
      <c r="E146">
        <v>84</v>
      </c>
      <c r="F146" t="s">
        <v>12</v>
      </c>
      <c r="G146" t="s">
        <v>39</v>
      </c>
      <c r="H146">
        <v>78</v>
      </c>
    </row>
    <row r="147" spans="1:8">
      <c r="A147">
        <v>176769</v>
      </c>
      <c r="B147" t="s">
        <v>179</v>
      </c>
      <c r="C147">
        <v>34</v>
      </c>
      <c r="D147">
        <v>84</v>
      </c>
      <c r="E147">
        <v>84</v>
      </c>
      <c r="F147" t="s">
        <v>12</v>
      </c>
      <c r="G147" t="s">
        <v>13</v>
      </c>
      <c r="H147">
        <v>88</v>
      </c>
    </row>
    <row r="148" spans="1:8">
      <c r="A148">
        <v>172879</v>
      </c>
      <c r="B148" t="s">
        <v>180</v>
      </c>
      <c r="C148">
        <v>30</v>
      </c>
      <c r="D148">
        <v>84</v>
      </c>
      <c r="E148">
        <v>84</v>
      </c>
      <c r="F148" t="s">
        <v>12</v>
      </c>
      <c r="G148" t="s">
        <v>26</v>
      </c>
      <c r="H148">
        <v>44</v>
      </c>
    </row>
    <row r="149" spans="1:8">
      <c r="A149">
        <v>167628</v>
      </c>
      <c r="B149" t="s">
        <v>181</v>
      </c>
      <c r="C149">
        <v>31</v>
      </c>
      <c r="D149">
        <v>84</v>
      </c>
      <c r="E149">
        <v>84</v>
      </c>
      <c r="F149" t="s">
        <v>12</v>
      </c>
      <c r="G149" t="s">
        <v>17</v>
      </c>
      <c r="H149">
        <v>11</v>
      </c>
    </row>
    <row r="150" spans="1:8">
      <c r="A150">
        <v>167397</v>
      </c>
      <c r="B150" t="s">
        <v>182</v>
      </c>
      <c r="C150">
        <v>32</v>
      </c>
      <c r="D150">
        <v>84</v>
      </c>
      <c r="E150">
        <v>84</v>
      </c>
      <c r="F150" t="s">
        <v>12</v>
      </c>
      <c r="G150" t="s">
        <v>24</v>
      </c>
      <c r="H150">
        <v>86</v>
      </c>
    </row>
    <row r="151" spans="1:8">
      <c r="A151">
        <v>163587</v>
      </c>
      <c r="B151" t="s">
        <v>183</v>
      </c>
      <c r="C151">
        <v>31</v>
      </c>
      <c r="D151">
        <v>84</v>
      </c>
      <c r="E151">
        <v>84</v>
      </c>
      <c r="F151" t="s">
        <v>12</v>
      </c>
      <c r="G151" t="s">
        <v>17</v>
      </c>
      <c r="H151">
        <v>12</v>
      </c>
    </row>
    <row r="152" spans="1:8">
      <c r="A152">
        <v>157481</v>
      </c>
      <c r="B152" t="s">
        <v>184</v>
      </c>
      <c r="C152">
        <v>32</v>
      </c>
      <c r="D152">
        <v>84</v>
      </c>
      <c r="E152">
        <v>84</v>
      </c>
      <c r="F152" t="s">
        <v>12</v>
      </c>
      <c r="G152" t="s">
        <v>26</v>
      </c>
      <c r="H152">
        <v>27</v>
      </c>
    </row>
    <row r="153" spans="1:8">
      <c r="A153">
        <v>143076</v>
      </c>
      <c r="B153" t="s">
        <v>185</v>
      </c>
      <c r="C153">
        <v>30</v>
      </c>
      <c r="D153">
        <v>84</v>
      </c>
      <c r="E153">
        <v>84</v>
      </c>
      <c r="F153" t="s">
        <v>12</v>
      </c>
      <c r="G153" t="s">
        <v>45</v>
      </c>
      <c r="H153">
        <v>76</v>
      </c>
    </row>
    <row r="154" spans="1:8">
      <c r="A154">
        <v>137186</v>
      </c>
      <c r="B154" t="s">
        <v>186</v>
      </c>
      <c r="C154">
        <v>37</v>
      </c>
      <c r="D154">
        <v>84</v>
      </c>
      <c r="E154">
        <v>84</v>
      </c>
      <c r="F154" t="s">
        <v>12</v>
      </c>
      <c r="G154" t="s">
        <v>32</v>
      </c>
      <c r="H154">
        <v>21</v>
      </c>
    </row>
    <row r="155" spans="1:8">
      <c r="A155">
        <v>20775</v>
      </c>
      <c r="B155" t="s">
        <v>187</v>
      </c>
      <c r="C155">
        <v>34</v>
      </c>
      <c r="D155">
        <v>84</v>
      </c>
      <c r="E155">
        <v>84</v>
      </c>
      <c r="F155" t="s">
        <v>12</v>
      </c>
      <c r="G155" t="s">
        <v>51</v>
      </c>
      <c r="H155">
        <v>67</v>
      </c>
    </row>
    <row r="156" spans="1:8">
      <c r="A156">
        <v>9014</v>
      </c>
      <c r="B156" t="s">
        <v>188</v>
      </c>
      <c r="C156">
        <v>34</v>
      </c>
      <c r="D156">
        <v>84</v>
      </c>
      <c r="E156">
        <v>84</v>
      </c>
      <c r="F156" t="s">
        <v>9</v>
      </c>
      <c r="G156" t="s">
        <v>51</v>
      </c>
      <c r="H156">
        <v>85</v>
      </c>
    </row>
    <row r="157" spans="1:8">
      <c r="A157">
        <v>231443</v>
      </c>
      <c r="B157" t="s">
        <v>189</v>
      </c>
      <c r="C157">
        <v>21</v>
      </c>
      <c r="D157">
        <v>83</v>
      </c>
      <c r="E157">
        <v>92</v>
      </c>
      <c r="F157" t="s">
        <v>9</v>
      </c>
      <c r="G157" t="s">
        <v>87</v>
      </c>
      <c r="H157">
        <v>78</v>
      </c>
    </row>
    <row r="158" spans="1:8">
      <c r="A158">
        <v>230666</v>
      </c>
      <c r="B158" t="s">
        <v>190</v>
      </c>
      <c r="C158">
        <v>21</v>
      </c>
      <c r="D158">
        <v>83</v>
      </c>
      <c r="E158">
        <v>92</v>
      </c>
      <c r="F158" t="s">
        <v>12</v>
      </c>
      <c r="G158" t="s">
        <v>13</v>
      </c>
      <c r="H158">
        <v>84</v>
      </c>
    </row>
    <row r="159" spans="1:8">
      <c r="A159">
        <v>230481</v>
      </c>
      <c r="B159" t="s">
        <v>191</v>
      </c>
      <c r="C159">
        <v>26</v>
      </c>
      <c r="D159">
        <v>83</v>
      </c>
      <c r="E159">
        <v>83</v>
      </c>
      <c r="F159" t="s">
        <v>12</v>
      </c>
      <c r="G159" t="s">
        <v>87</v>
      </c>
      <c r="H159">
        <v>74</v>
      </c>
    </row>
    <row r="160" spans="1:8">
      <c r="A160">
        <v>230375</v>
      </c>
      <c r="B160" t="s">
        <v>192</v>
      </c>
      <c r="C160">
        <v>26</v>
      </c>
      <c r="D160">
        <v>83</v>
      </c>
      <c r="E160">
        <v>83</v>
      </c>
      <c r="F160" t="s">
        <v>12</v>
      </c>
      <c r="G160" t="s">
        <v>49</v>
      </c>
      <c r="H160">
        <v>38</v>
      </c>
    </row>
    <row r="161" spans="1:8">
      <c r="A161">
        <v>230294</v>
      </c>
      <c r="B161" t="s">
        <v>193</v>
      </c>
      <c r="C161">
        <v>26</v>
      </c>
      <c r="D161">
        <v>83</v>
      </c>
      <c r="E161">
        <v>83</v>
      </c>
      <c r="F161" t="s">
        <v>12</v>
      </c>
      <c r="G161" t="s">
        <v>13</v>
      </c>
      <c r="H161">
        <v>85</v>
      </c>
    </row>
    <row r="162" spans="1:8">
      <c r="A162">
        <v>225850</v>
      </c>
      <c r="B162" t="s">
        <v>194</v>
      </c>
      <c r="C162">
        <v>22</v>
      </c>
      <c r="D162">
        <v>83</v>
      </c>
      <c r="E162">
        <v>89</v>
      </c>
      <c r="F162" t="s">
        <v>9</v>
      </c>
      <c r="G162" t="s">
        <v>49</v>
      </c>
      <c r="H162">
        <v>31</v>
      </c>
    </row>
    <row r="163" spans="1:8">
      <c r="A163">
        <v>220971</v>
      </c>
      <c r="B163" t="s">
        <v>195</v>
      </c>
      <c r="C163">
        <v>23</v>
      </c>
      <c r="D163">
        <v>83</v>
      </c>
      <c r="E163">
        <v>88</v>
      </c>
      <c r="F163" t="s">
        <v>12</v>
      </c>
      <c r="G163" t="s">
        <v>99</v>
      </c>
      <c r="H163">
        <v>74</v>
      </c>
    </row>
    <row r="164" spans="1:8">
      <c r="A164">
        <v>219683</v>
      </c>
      <c r="B164" t="s">
        <v>196</v>
      </c>
      <c r="C164">
        <v>23</v>
      </c>
      <c r="D164">
        <v>83</v>
      </c>
      <c r="E164">
        <v>88</v>
      </c>
      <c r="F164" t="s">
        <v>12</v>
      </c>
      <c r="G164" t="s">
        <v>99</v>
      </c>
      <c r="H164">
        <v>75</v>
      </c>
    </row>
    <row r="165" spans="1:8">
      <c r="A165">
        <v>213565</v>
      </c>
      <c r="B165" t="s">
        <v>197</v>
      </c>
      <c r="C165">
        <v>22</v>
      </c>
      <c r="D165">
        <v>83</v>
      </c>
      <c r="E165">
        <v>89</v>
      </c>
      <c r="F165" t="s">
        <v>9</v>
      </c>
      <c r="G165" t="s">
        <v>61</v>
      </c>
      <c r="H165">
        <v>75</v>
      </c>
    </row>
    <row r="166" spans="1:8">
      <c r="A166">
        <v>213345</v>
      </c>
      <c r="B166" t="s">
        <v>198</v>
      </c>
      <c r="C166">
        <v>22</v>
      </c>
      <c r="D166">
        <v>83</v>
      </c>
      <c r="E166">
        <v>87</v>
      </c>
      <c r="F166" t="s">
        <v>12</v>
      </c>
      <c r="G166" t="s">
        <v>61</v>
      </c>
      <c r="H166">
        <v>76</v>
      </c>
    </row>
    <row r="167" spans="1:8">
      <c r="A167">
        <v>213331</v>
      </c>
      <c r="B167" t="s">
        <v>199</v>
      </c>
      <c r="C167">
        <v>22</v>
      </c>
      <c r="D167">
        <v>83</v>
      </c>
      <c r="E167">
        <v>88</v>
      </c>
      <c r="F167" t="s">
        <v>12</v>
      </c>
      <c r="G167" t="s">
        <v>32</v>
      </c>
      <c r="H167">
        <v>20</v>
      </c>
    </row>
    <row r="168" spans="1:8">
      <c r="A168">
        <v>212523</v>
      </c>
      <c r="B168" t="s">
        <v>200</v>
      </c>
      <c r="C168">
        <v>24</v>
      </c>
      <c r="D168">
        <v>83</v>
      </c>
      <c r="E168">
        <v>90</v>
      </c>
      <c r="F168" t="s">
        <v>9</v>
      </c>
      <c r="G168" t="s">
        <v>39</v>
      </c>
      <c r="H168">
        <v>80</v>
      </c>
    </row>
    <row r="169" spans="1:8">
      <c r="A169">
        <v>212188</v>
      </c>
      <c r="B169" t="s">
        <v>201</v>
      </c>
      <c r="C169">
        <v>22</v>
      </c>
      <c r="D169">
        <v>83</v>
      </c>
      <c r="E169">
        <v>87</v>
      </c>
      <c r="F169" t="s">
        <v>12</v>
      </c>
      <c r="G169" t="s">
        <v>87</v>
      </c>
      <c r="H169">
        <v>87</v>
      </c>
    </row>
    <row r="170" spans="1:8">
      <c r="A170">
        <v>210008</v>
      </c>
      <c r="B170" t="s">
        <v>202</v>
      </c>
      <c r="C170">
        <v>23</v>
      </c>
      <c r="D170">
        <v>83</v>
      </c>
      <c r="E170">
        <v>87</v>
      </c>
      <c r="F170" t="s">
        <v>9</v>
      </c>
      <c r="G170" t="s">
        <v>99</v>
      </c>
      <c r="H170">
        <v>69</v>
      </c>
    </row>
    <row r="171" spans="1:8">
      <c r="A171">
        <v>209658</v>
      </c>
      <c r="B171" t="s">
        <v>203</v>
      </c>
      <c r="C171">
        <v>23</v>
      </c>
      <c r="D171">
        <v>83</v>
      </c>
      <c r="E171">
        <v>88</v>
      </c>
      <c r="F171" t="s">
        <v>12</v>
      </c>
      <c r="G171" t="s">
        <v>99</v>
      </c>
      <c r="H171">
        <v>72</v>
      </c>
    </row>
    <row r="172" spans="1:8">
      <c r="A172">
        <v>208808</v>
      </c>
      <c r="B172" t="s">
        <v>204</v>
      </c>
      <c r="C172">
        <v>26</v>
      </c>
      <c r="D172">
        <v>83</v>
      </c>
      <c r="E172">
        <v>84</v>
      </c>
      <c r="F172" t="s">
        <v>12</v>
      </c>
      <c r="G172" t="s">
        <v>51</v>
      </c>
      <c r="H172">
        <v>86</v>
      </c>
    </row>
    <row r="173" spans="1:8">
      <c r="A173">
        <v>208670</v>
      </c>
      <c r="B173" t="s">
        <v>205</v>
      </c>
      <c r="C173">
        <v>25</v>
      </c>
      <c r="D173">
        <v>83</v>
      </c>
      <c r="E173">
        <v>86</v>
      </c>
      <c r="F173" t="s">
        <v>9</v>
      </c>
      <c r="G173" t="s">
        <v>163</v>
      </c>
      <c r="H173">
        <v>68</v>
      </c>
    </row>
    <row r="174" spans="1:8">
      <c r="A174">
        <v>208618</v>
      </c>
      <c r="B174" t="s">
        <v>206</v>
      </c>
      <c r="C174">
        <v>27</v>
      </c>
      <c r="D174">
        <v>83</v>
      </c>
      <c r="E174">
        <v>83</v>
      </c>
      <c r="F174" t="s">
        <v>12</v>
      </c>
      <c r="G174" t="s">
        <v>87</v>
      </c>
      <c r="H174">
        <v>73</v>
      </c>
    </row>
    <row r="175" spans="1:8">
      <c r="A175">
        <v>208418</v>
      </c>
      <c r="B175" t="s">
        <v>207</v>
      </c>
      <c r="C175">
        <v>24</v>
      </c>
      <c r="D175">
        <v>83</v>
      </c>
      <c r="E175">
        <v>86</v>
      </c>
      <c r="F175" t="s">
        <v>12</v>
      </c>
      <c r="G175" t="s">
        <v>61</v>
      </c>
      <c r="H175">
        <v>79</v>
      </c>
    </row>
    <row r="176" spans="1:8">
      <c r="A176">
        <v>208093</v>
      </c>
      <c r="B176" t="s">
        <v>208</v>
      </c>
      <c r="C176">
        <v>26</v>
      </c>
      <c r="D176">
        <v>83</v>
      </c>
      <c r="E176">
        <v>85</v>
      </c>
      <c r="F176" t="s">
        <v>9</v>
      </c>
      <c r="G176" t="s">
        <v>45</v>
      </c>
      <c r="H176">
        <v>83</v>
      </c>
    </row>
    <row r="177" spans="1:8">
      <c r="A177">
        <v>207863</v>
      </c>
      <c r="B177" t="s">
        <v>209</v>
      </c>
      <c r="C177">
        <v>29</v>
      </c>
      <c r="D177">
        <v>83</v>
      </c>
      <c r="E177">
        <v>83</v>
      </c>
      <c r="F177" t="s">
        <v>12</v>
      </c>
      <c r="G177" t="s">
        <v>26</v>
      </c>
      <c r="H177">
        <v>39</v>
      </c>
    </row>
    <row r="178" spans="1:8">
      <c r="A178">
        <v>207410</v>
      </c>
      <c r="B178" t="s">
        <v>210</v>
      </c>
      <c r="C178">
        <v>24</v>
      </c>
      <c r="D178">
        <v>83</v>
      </c>
      <c r="E178">
        <v>89</v>
      </c>
      <c r="F178" t="s">
        <v>12</v>
      </c>
      <c r="G178" t="s">
        <v>30</v>
      </c>
      <c r="H178">
        <v>62</v>
      </c>
    </row>
    <row r="179" spans="1:8">
      <c r="A179">
        <v>206585</v>
      </c>
      <c r="B179" t="s">
        <v>211</v>
      </c>
      <c r="C179">
        <v>23</v>
      </c>
      <c r="D179">
        <v>83</v>
      </c>
      <c r="E179">
        <v>91</v>
      </c>
      <c r="F179" t="s">
        <v>12</v>
      </c>
      <c r="G179" t="s">
        <v>17</v>
      </c>
      <c r="H179">
        <v>11</v>
      </c>
    </row>
    <row r="180" spans="1:8">
      <c r="A180">
        <v>206545</v>
      </c>
      <c r="B180" t="s">
        <v>212</v>
      </c>
      <c r="C180">
        <v>26</v>
      </c>
      <c r="D180">
        <v>83</v>
      </c>
      <c r="E180">
        <v>84</v>
      </c>
      <c r="F180" t="s">
        <v>12</v>
      </c>
      <c r="G180" t="s">
        <v>19</v>
      </c>
      <c r="H180">
        <v>71</v>
      </c>
    </row>
    <row r="181" spans="1:8">
      <c r="A181">
        <v>206113</v>
      </c>
      <c r="B181" t="s">
        <v>213</v>
      </c>
      <c r="C181">
        <v>22</v>
      </c>
      <c r="D181">
        <v>83</v>
      </c>
      <c r="E181">
        <v>88</v>
      </c>
      <c r="F181" t="s">
        <v>12</v>
      </c>
      <c r="G181" t="s">
        <v>13</v>
      </c>
      <c r="H181">
        <v>81</v>
      </c>
    </row>
    <row r="182" spans="1:8">
      <c r="A182">
        <v>204935</v>
      </c>
      <c r="B182" t="s">
        <v>214</v>
      </c>
      <c r="C182">
        <v>24</v>
      </c>
      <c r="D182">
        <v>83</v>
      </c>
      <c r="E182">
        <v>88</v>
      </c>
      <c r="F182" t="s">
        <v>9</v>
      </c>
      <c r="G182" t="s">
        <v>17</v>
      </c>
      <c r="H182">
        <v>19</v>
      </c>
    </row>
    <row r="183" spans="1:8">
      <c r="A183">
        <v>204639</v>
      </c>
      <c r="B183" t="s">
        <v>215</v>
      </c>
      <c r="C183">
        <v>27</v>
      </c>
      <c r="D183">
        <v>83</v>
      </c>
      <c r="E183">
        <v>86</v>
      </c>
      <c r="F183" t="s">
        <v>12</v>
      </c>
      <c r="G183" t="s">
        <v>32</v>
      </c>
      <c r="H183">
        <v>34</v>
      </c>
    </row>
    <row r="184" spans="1:8">
      <c r="A184">
        <v>203574</v>
      </c>
      <c r="B184" t="s">
        <v>216</v>
      </c>
      <c r="C184">
        <v>24</v>
      </c>
      <c r="D184">
        <v>83</v>
      </c>
      <c r="E184">
        <v>87</v>
      </c>
      <c r="F184" t="s">
        <v>12</v>
      </c>
      <c r="G184" t="s">
        <v>26</v>
      </c>
      <c r="H184">
        <v>29</v>
      </c>
    </row>
    <row r="185" spans="1:8">
      <c r="A185">
        <v>202651</v>
      </c>
      <c r="B185" t="s">
        <v>217</v>
      </c>
      <c r="C185">
        <v>24</v>
      </c>
      <c r="D185">
        <v>83</v>
      </c>
      <c r="E185">
        <v>86</v>
      </c>
      <c r="F185" t="s">
        <v>9</v>
      </c>
      <c r="G185" t="s">
        <v>87</v>
      </c>
      <c r="H185">
        <v>70</v>
      </c>
    </row>
    <row r="186" spans="1:8">
      <c r="A186">
        <v>202166</v>
      </c>
      <c r="B186" t="s">
        <v>218</v>
      </c>
      <c r="C186">
        <v>24</v>
      </c>
      <c r="D186">
        <v>83</v>
      </c>
      <c r="E186">
        <v>86</v>
      </c>
      <c r="F186" t="s">
        <v>12</v>
      </c>
      <c r="G186" t="s">
        <v>99</v>
      </c>
      <c r="H186">
        <v>78</v>
      </c>
    </row>
    <row r="187" spans="1:8">
      <c r="A187">
        <v>201995</v>
      </c>
      <c r="B187" t="s">
        <v>219</v>
      </c>
      <c r="C187">
        <v>25</v>
      </c>
      <c r="D187">
        <v>83</v>
      </c>
      <c r="E187">
        <v>85</v>
      </c>
      <c r="F187" t="s">
        <v>12</v>
      </c>
      <c r="G187" t="s">
        <v>61</v>
      </c>
      <c r="H187">
        <v>71</v>
      </c>
    </row>
    <row r="188" spans="1:8">
      <c r="A188">
        <v>200949</v>
      </c>
      <c r="B188" t="s">
        <v>220</v>
      </c>
      <c r="C188">
        <v>25</v>
      </c>
      <c r="D188">
        <v>83</v>
      </c>
      <c r="E188">
        <v>84</v>
      </c>
      <c r="F188" t="s">
        <v>12</v>
      </c>
      <c r="G188" t="s">
        <v>51</v>
      </c>
      <c r="H188">
        <v>78</v>
      </c>
    </row>
    <row r="189" spans="1:8">
      <c r="A189">
        <v>200888</v>
      </c>
      <c r="B189" t="s">
        <v>221</v>
      </c>
      <c r="C189">
        <v>26</v>
      </c>
      <c r="D189">
        <v>83</v>
      </c>
      <c r="E189">
        <v>86</v>
      </c>
      <c r="F189" t="s">
        <v>12</v>
      </c>
      <c r="G189" t="s">
        <v>43</v>
      </c>
      <c r="H189">
        <v>61</v>
      </c>
    </row>
    <row r="190" spans="1:8">
      <c r="A190">
        <v>200724</v>
      </c>
      <c r="B190" t="s">
        <v>222</v>
      </c>
      <c r="C190">
        <v>28</v>
      </c>
      <c r="D190">
        <v>83</v>
      </c>
      <c r="E190">
        <v>85</v>
      </c>
      <c r="F190" t="s">
        <v>12</v>
      </c>
      <c r="G190" t="s">
        <v>32</v>
      </c>
      <c r="H190">
        <v>32</v>
      </c>
    </row>
    <row r="191" spans="1:8">
      <c r="A191">
        <v>200316</v>
      </c>
      <c r="B191" t="s">
        <v>223</v>
      </c>
      <c r="C191">
        <v>25</v>
      </c>
      <c r="D191">
        <v>83</v>
      </c>
      <c r="E191">
        <v>87</v>
      </c>
      <c r="F191" t="s">
        <v>9</v>
      </c>
      <c r="G191" t="s">
        <v>17</v>
      </c>
      <c r="H191">
        <v>13</v>
      </c>
    </row>
    <row r="192" spans="1:8">
      <c r="A192">
        <v>199914</v>
      </c>
      <c r="B192" t="s">
        <v>224</v>
      </c>
      <c r="C192">
        <v>27</v>
      </c>
      <c r="D192">
        <v>83</v>
      </c>
      <c r="E192">
        <v>83</v>
      </c>
      <c r="F192" t="s">
        <v>12</v>
      </c>
      <c r="G192" t="s">
        <v>19</v>
      </c>
      <c r="H192">
        <v>72</v>
      </c>
    </row>
    <row r="193" spans="1:8">
      <c r="A193">
        <v>199845</v>
      </c>
      <c r="B193" t="s">
        <v>225</v>
      </c>
      <c r="C193">
        <v>30</v>
      </c>
      <c r="D193">
        <v>83</v>
      </c>
      <c r="E193">
        <v>83</v>
      </c>
      <c r="F193" t="s">
        <v>9</v>
      </c>
      <c r="G193" t="s">
        <v>32</v>
      </c>
      <c r="H193">
        <v>37</v>
      </c>
    </row>
    <row r="194" spans="1:8">
      <c r="A194">
        <v>199564</v>
      </c>
      <c r="B194" t="s">
        <v>226</v>
      </c>
      <c r="C194">
        <v>26</v>
      </c>
      <c r="D194">
        <v>83</v>
      </c>
      <c r="E194">
        <v>86</v>
      </c>
      <c r="F194" t="s">
        <v>12</v>
      </c>
      <c r="G194" t="s">
        <v>102</v>
      </c>
      <c r="H194">
        <v>63</v>
      </c>
    </row>
    <row r="195" spans="1:8">
      <c r="A195">
        <v>198329</v>
      </c>
      <c r="B195" t="s">
        <v>227</v>
      </c>
      <c r="C195">
        <v>27</v>
      </c>
      <c r="D195">
        <v>83</v>
      </c>
      <c r="E195">
        <v>84</v>
      </c>
      <c r="F195" t="s">
        <v>9</v>
      </c>
      <c r="G195" t="s">
        <v>13</v>
      </c>
      <c r="H195">
        <v>78</v>
      </c>
    </row>
    <row r="196" spans="1:8">
      <c r="A196">
        <v>197965</v>
      </c>
      <c r="B196" t="s">
        <v>228</v>
      </c>
      <c r="C196">
        <v>28</v>
      </c>
      <c r="D196">
        <v>83</v>
      </c>
      <c r="E196">
        <v>83</v>
      </c>
      <c r="F196" t="s">
        <v>12</v>
      </c>
      <c r="G196" t="s">
        <v>30</v>
      </c>
      <c r="H196">
        <v>76</v>
      </c>
    </row>
    <row r="197" spans="1:8">
      <c r="A197">
        <v>195365</v>
      </c>
      <c r="B197" t="s">
        <v>229</v>
      </c>
      <c r="C197">
        <v>27</v>
      </c>
      <c r="D197">
        <v>83</v>
      </c>
      <c r="E197">
        <v>83</v>
      </c>
      <c r="F197" t="s">
        <v>12</v>
      </c>
      <c r="G197" t="s">
        <v>30</v>
      </c>
      <c r="H197">
        <v>63</v>
      </c>
    </row>
    <row r="198" spans="1:8">
      <c r="A198">
        <v>194404</v>
      </c>
      <c r="B198" t="s">
        <v>230</v>
      </c>
      <c r="C198">
        <v>28</v>
      </c>
      <c r="D198">
        <v>83</v>
      </c>
      <c r="E198">
        <v>84</v>
      </c>
      <c r="F198" t="s">
        <v>12</v>
      </c>
      <c r="G198" t="s">
        <v>17</v>
      </c>
      <c r="H198">
        <v>15</v>
      </c>
    </row>
    <row r="199" spans="1:8">
      <c r="A199">
        <v>193698</v>
      </c>
      <c r="B199" t="s">
        <v>231</v>
      </c>
      <c r="C199">
        <v>28</v>
      </c>
      <c r="D199">
        <v>83</v>
      </c>
      <c r="E199">
        <v>84</v>
      </c>
      <c r="F199" t="s">
        <v>12</v>
      </c>
      <c r="G199" t="s">
        <v>17</v>
      </c>
      <c r="H199">
        <v>11</v>
      </c>
    </row>
    <row r="200" spans="1:8">
      <c r="A200">
        <v>193474</v>
      </c>
      <c r="B200" t="s">
        <v>232</v>
      </c>
      <c r="C200">
        <v>28</v>
      </c>
      <c r="D200">
        <v>83</v>
      </c>
      <c r="E200">
        <v>83</v>
      </c>
      <c r="F200" t="s">
        <v>12</v>
      </c>
      <c r="G200" t="s">
        <v>75</v>
      </c>
      <c r="H200">
        <v>50</v>
      </c>
    </row>
    <row r="201" spans="1:8">
      <c r="A201">
        <v>192883</v>
      </c>
      <c r="B201" t="s">
        <v>233</v>
      </c>
      <c r="C201">
        <v>29</v>
      </c>
      <c r="D201">
        <v>83</v>
      </c>
      <c r="E201">
        <v>83</v>
      </c>
      <c r="F201" t="s">
        <v>12</v>
      </c>
      <c r="G201" t="s">
        <v>51</v>
      </c>
      <c r="H201">
        <v>74</v>
      </c>
    </row>
    <row r="202" spans="1:8">
      <c r="A202">
        <v>192638</v>
      </c>
      <c r="B202" t="s">
        <v>234</v>
      </c>
      <c r="C202">
        <v>27</v>
      </c>
      <c r="D202">
        <v>83</v>
      </c>
      <c r="E202">
        <v>84</v>
      </c>
      <c r="F202" t="s">
        <v>9</v>
      </c>
      <c r="G202" t="s">
        <v>64</v>
      </c>
      <c r="H202">
        <v>68</v>
      </c>
    </row>
    <row r="203" spans="1:8">
      <c r="A203">
        <v>192593</v>
      </c>
      <c r="B203" t="s">
        <v>235</v>
      </c>
      <c r="C203">
        <v>33</v>
      </c>
      <c r="D203">
        <v>83</v>
      </c>
      <c r="E203">
        <v>83</v>
      </c>
      <c r="F203" t="s">
        <v>12</v>
      </c>
      <c r="G203" t="s">
        <v>17</v>
      </c>
      <c r="H203">
        <v>10</v>
      </c>
    </row>
    <row r="204" spans="1:8">
      <c r="A204">
        <v>190547</v>
      </c>
      <c r="B204" t="s">
        <v>236</v>
      </c>
      <c r="C204">
        <v>30</v>
      </c>
      <c r="D204">
        <v>83</v>
      </c>
      <c r="E204">
        <v>83</v>
      </c>
      <c r="F204" t="s">
        <v>12</v>
      </c>
      <c r="G204" t="s">
        <v>26</v>
      </c>
      <c r="H204">
        <v>27</v>
      </c>
    </row>
    <row r="205" spans="1:8">
      <c r="A205">
        <v>189712</v>
      </c>
      <c r="B205" t="s">
        <v>237</v>
      </c>
      <c r="C205">
        <v>28</v>
      </c>
      <c r="D205">
        <v>83</v>
      </c>
      <c r="E205">
        <v>83</v>
      </c>
      <c r="F205" t="s">
        <v>9</v>
      </c>
      <c r="G205" t="s">
        <v>43</v>
      </c>
      <c r="H205">
        <v>68</v>
      </c>
    </row>
    <row r="206" spans="1:8">
      <c r="A206">
        <v>189068</v>
      </c>
      <c r="B206" t="s">
        <v>238</v>
      </c>
      <c r="C206">
        <v>29</v>
      </c>
      <c r="D206">
        <v>83</v>
      </c>
      <c r="E206">
        <v>83</v>
      </c>
      <c r="F206" t="s">
        <v>12</v>
      </c>
      <c r="G206" t="s">
        <v>13</v>
      </c>
      <c r="H206">
        <v>87</v>
      </c>
    </row>
    <row r="207" spans="1:8">
      <c r="A207">
        <v>188152</v>
      </c>
      <c r="B207" t="s">
        <v>239</v>
      </c>
      <c r="C207">
        <v>26</v>
      </c>
      <c r="D207">
        <v>83</v>
      </c>
      <c r="E207">
        <v>84</v>
      </c>
      <c r="F207" t="s">
        <v>12</v>
      </c>
      <c r="G207" t="s">
        <v>30</v>
      </c>
      <c r="H207">
        <v>76</v>
      </c>
    </row>
    <row r="208" spans="1:8">
      <c r="A208">
        <v>186627</v>
      </c>
      <c r="B208" t="s">
        <v>240</v>
      </c>
      <c r="C208">
        <v>27</v>
      </c>
      <c r="D208">
        <v>83</v>
      </c>
      <c r="E208">
        <v>83</v>
      </c>
      <c r="F208" t="s">
        <v>12</v>
      </c>
      <c r="G208" t="s">
        <v>45</v>
      </c>
      <c r="H208">
        <v>85</v>
      </c>
    </row>
    <row r="209" spans="1:8">
      <c r="A209">
        <v>185221</v>
      </c>
      <c r="B209" t="s">
        <v>241</v>
      </c>
      <c r="C209">
        <v>30</v>
      </c>
      <c r="D209">
        <v>83</v>
      </c>
      <c r="E209">
        <v>83</v>
      </c>
      <c r="F209" t="s">
        <v>9</v>
      </c>
      <c r="G209" t="s">
        <v>49</v>
      </c>
      <c r="H209">
        <v>48</v>
      </c>
    </row>
    <row r="210" spans="1:8">
      <c r="A210">
        <v>184942</v>
      </c>
      <c r="B210" t="s">
        <v>242</v>
      </c>
      <c r="C210">
        <v>28</v>
      </c>
      <c r="D210">
        <v>83</v>
      </c>
      <c r="E210">
        <v>83</v>
      </c>
      <c r="F210" t="s">
        <v>12</v>
      </c>
      <c r="G210" t="s">
        <v>39</v>
      </c>
      <c r="H210">
        <v>79</v>
      </c>
    </row>
    <row r="211" spans="1:8">
      <c r="A211">
        <v>179944</v>
      </c>
      <c r="B211" t="s">
        <v>243</v>
      </c>
      <c r="C211">
        <v>31</v>
      </c>
      <c r="D211">
        <v>83</v>
      </c>
      <c r="E211">
        <v>83</v>
      </c>
      <c r="F211" t="s">
        <v>12</v>
      </c>
      <c r="G211" t="s">
        <v>49</v>
      </c>
      <c r="H211">
        <v>55</v>
      </c>
    </row>
    <row r="212" spans="1:8">
      <c r="A212">
        <v>179783</v>
      </c>
      <c r="B212" t="s">
        <v>244</v>
      </c>
      <c r="C212">
        <v>29</v>
      </c>
      <c r="D212">
        <v>83</v>
      </c>
      <c r="E212">
        <v>84</v>
      </c>
      <c r="F212" t="s">
        <v>12</v>
      </c>
      <c r="G212" t="s">
        <v>17</v>
      </c>
      <c r="H212">
        <v>11</v>
      </c>
    </row>
    <row r="213" spans="1:8">
      <c r="A213">
        <v>178088</v>
      </c>
      <c r="B213" t="s">
        <v>245</v>
      </c>
      <c r="C213">
        <v>30</v>
      </c>
      <c r="D213">
        <v>83</v>
      </c>
      <c r="E213">
        <v>83</v>
      </c>
      <c r="F213" t="s">
        <v>9</v>
      </c>
      <c r="G213" t="s">
        <v>51</v>
      </c>
      <c r="H213">
        <v>78</v>
      </c>
    </row>
    <row r="214" spans="1:8">
      <c r="A214">
        <v>178086</v>
      </c>
      <c r="B214" t="s">
        <v>246</v>
      </c>
      <c r="C214">
        <v>31</v>
      </c>
      <c r="D214">
        <v>83</v>
      </c>
      <c r="E214">
        <v>83</v>
      </c>
      <c r="F214" t="s">
        <v>9</v>
      </c>
      <c r="G214" t="s">
        <v>17</v>
      </c>
      <c r="H214">
        <v>11</v>
      </c>
    </row>
    <row r="215" spans="1:8">
      <c r="A215">
        <v>178005</v>
      </c>
      <c r="B215" t="s">
        <v>247</v>
      </c>
      <c r="C215">
        <v>30</v>
      </c>
      <c r="D215">
        <v>83</v>
      </c>
      <c r="E215">
        <v>83</v>
      </c>
      <c r="F215" t="s">
        <v>9</v>
      </c>
      <c r="G215" t="s">
        <v>17</v>
      </c>
      <c r="H215">
        <v>12</v>
      </c>
    </row>
    <row r="216" spans="1:8">
      <c r="A216">
        <v>177683</v>
      </c>
      <c r="B216" t="s">
        <v>248</v>
      </c>
      <c r="C216">
        <v>29</v>
      </c>
      <c r="D216">
        <v>83</v>
      </c>
      <c r="E216">
        <v>84</v>
      </c>
      <c r="F216" t="s">
        <v>12</v>
      </c>
      <c r="G216" t="s">
        <v>17</v>
      </c>
      <c r="H216">
        <v>13</v>
      </c>
    </row>
    <row r="217" spans="1:8">
      <c r="A217">
        <v>177610</v>
      </c>
      <c r="B217" t="s">
        <v>249</v>
      </c>
      <c r="C217">
        <v>29</v>
      </c>
      <c r="D217">
        <v>83</v>
      </c>
      <c r="E217">
        <v>83</v>
      </c>
      <c r="F217" t="s">
        <v>12</v>
      </c>
      <c r="G217" t="s">
        <v>43</v>
      </c>
      <c r="H217">
        <v>43</v>
      </c>
    </row>
    <row r="218" spans="1:8">
      <c r="A218">
        <v>177457</v>
      </c>
      <c r="B218" t="s">
        <v>250</v>
      </c>
      <c r="C218">
        <v>29</v>
      </c>
      <c r="D218">
        <v>83</v>
      </c>
      <c r="E218">
        <v>83</v>
      </c>
      <c r="F218" t="s">
        <v>12</v>
      </c>
      <c r="G218" t="s">
        <v>102</v>
      </c>
      <c r="H218">
        <v>59</v>
      </c>
    </row>
    <row r="219" spans="1:8">
      <c r="A219">
        <v>176266</v>
      </c>
      <c r="B219" t="s">
        <v>251</v>
      </c>
      <c r="C219">
        <v>31</v>
      </c>
      <c r="D219">
        <v>83</v>
      </c>
      <c r="E219">
        <v>83</v>
      </c>
      <c r="F219" t="s">
        <v>12</v>
      </c>
      <c r="G219" t="s">
        <v>35</v>
      </c>
      <c r="H219">
        <v>62</v>
      </c>
    </row>
    <row r="220" spans="1:8">
      <c r="A220">
        <v>163705</v>
      </c>
      <c r="B220" t="s">
        <v>252</v>
      </c>
      <c r="C220">
        <v>33</v>
      </c>
      <c r="D220">
        <v>83</v>
      </c>
      <c r="E220">
        <v>83</v>
      </c>
      <c r="F220" t="s">
        <v>12</v>
      </c>
      <c r="G220" t="s">
        <v>17</v>
      </c>
      <c r="H220">
        <v>13</v>
      </c>
    </row>
    <row r="221" spans="1:8">
      <c r="A221">
        <v>162895</v>
      </c>
      <c r="B221" t="s">
        <v>253</v>
      </c>
      <c r="C221">
        <v>31</v>
      </c>
      <c r="D221">
        <v>83</v>
      </c>
      <c r="E221">
        <v>83</v>
      </c>
      <c r="F221" t="s">
        <v>12</v>
      </c>
      <c r="G221" t="s">
        <v>99</v>
      </c>
      <c r="H221">
        <v>72</v>
      </c>
    </row>
    <row r="222" spans="1:8">
      <c r="A222">
        <v>162240</v>
      </c>
      <c r="B222" t="s">
        <v>254</v>
      </c>
      <c r="C222">
        <v>30</v>
      </c>
      <c r="D222">
        <v>83</v>
      </c>
      <c r="E222">
        <v>83</v>
      </c>
      <c r="F222" t="s">
        <v>9</v>
      </c>
      <c r="G222" t="s">
        <v>99</v>
      </c>
      <c r="H222">
        <v>66</v>
      </c>
    </row>
    <row r="223" spans="1:8">
      <c r="A223">
        <v>156616</v>
      </c>
      <c r="B223" t="s">
        <v>255</v>
      </c>
      <c r="C223">
        <v>35</v>
      </c>
      <c r="D223">
        <v>83</v>
      </c>
      <c r="E223">
        <v>83</v>
      </c>
      <c r="F223" t="s">
        <v>12</v>
      </c>
      <c r="G223" t="s">
        <v>61</v>
      </c>
      <c r="H223">
        <v>74</v>
      </c>
    </row>
    <row r="224" spans="1:8">
      <c r="A224">
        <v>104389</v>
      </c>
      <c r="B224" t="s">
        <v>256</v>
      </c>
      <c r="C224">
        <v>33</v>
      </c>
      <c r="D224">
        <v>83</v>
      </c>
      <c r="E224">
        <v>83</v>
      </c>
      <c r="F224" t="s">
        <v>12</v>
      </c>
      <c r="G224" t="s">
        <v>17</v>
      </c>
      <c r="H224">
        <v>13</v>
      </c>
    </row>
    <row r="225" spans="1:8">
      <c r="A225">
        <v>53302</v>
      </c>
      <c r="B225" t="s">
        <v>257</v>
      </c>
      <c r="C225">
        <v>34</v>
      </c>
      <c r="D225">
        <v>83</v>
      </c>
      <c r="E225">
        <v>83</v>
      </c>
      <c r="F225" t="s">
        <v>12</v>
      </c>
      <c r="G225" t="s">
        <v>75</v>
      </c>
      <c r="H225">
        <v>50</v>
      </c>
    </row>
    <row r="226" spans="1:8">
      <c r="A226">
        <v>24630</v>
      </c>
      <c r="B226" t="s">
        <v>258</v>
      </c>
      <c r="C226">
        <v>35</v>
      </c>
      <c r="D226">
        <v>83</v>
      </c>
      <c r="E226">
        <v>83</v>
      </c>
      <c r="F226" t="s">
        <v>12</v>
      </c>
      <c r="G226" t="s">
        <v>17</v>
      </c>
      <c r="H226">
        <v>14</v>
      </c>
    </row>
    <row r="227" spans="1:8">
      <c r="A227">
        <v>236583</v>
      </c>
      <c r="B227" t="s">
        <v>259</v>
      </c>
      <c r="C227">
        <v>26</v>
      </c>
      <c r="D227">
        <v>82</v>
      </c>
      <c r="E227">
        <v>85</v>
      </c>
      <c r="F227" t="s">
        <v>12</v>
      </c>
      <c r="G227" t="s">
        <v>17</v>
      </c>
      <c r="H227">
        <v>16</v>
      </c>
    </row>
    <row r="228" spans="1:8">
      <c r="A228">
        <v>235243</v>
      </c>
      <c r="B228" t="s">
        <v>260</v>
      </c>
      <c r="C228">
        <v>18</v>
      </c>
      <c r="D228">
        <v>82</v>
      </c>
      <c r="E228">
        <v>91</v>
      </c>
      <c r="F228" t="s">
        <v>12</v>
      </c>
      <c r="G228" t="s">
        <v>26</v>
      </c>
      <c r="H228">
        <v>53</v>
      </c>
    </row>
    <row r="229" spans="1:8">
      <c r="A229">
        <v>231866</v>
      </c>
      <c r="B229" t="s">
        <v>261</v>
      </c>
      <c r="C229">
        <v>22</v>
      </c>
      <c r="D229">
        <v>82</v>
      </c>
      <c r="E229">
        <v>87</v>
      </c>
      <c r="F229" t="s">
        <v>12</v>
      </c>
      <c r="G229" t="s">
        <v>99</v>
      </c>
      <c r="H229">
        <v>64</v>
      </c>
    </row>
    <row r="230" spans="1:8">
      <c r="A230">
        <v>230658</v>
      </c>
      <c r="B230" t="s">
        <v>262</v>
      </c>
      <c r="C230">
        <v>21</v>
      </c>
      <c r="D230">
        <v>82</v>
      </c>
      <c r="E230">
        <v>90</v>
      </c>
      <c r="F230" t="s">
        <v>12</v>
      </c>
      <c r="G230" t="s">
        <v>30</v>
      </c>
      <c r="H230">
        <v>72</v>
      </c>
    </row>
    <row r="231" spans="1:8">
      <c r="A231">
        <v>230621</v>
      </c>
      <c r="B231" t="s">
        <v>263</v>
      </c>
      <c r="C231">
        <v>19</v>
      </c>
      <c r="D231">
        <v>82</v>
      </c>
      <c r="E231">
        <v>93</v>
      </c>
      <c r="F231" t="s">
        <v>12</v>
      </c>
      <c r="G231" t="s">
        <v>17</v>
      </c>
      <c r="H231">
        <v>12</v>
      </c>
    </row>
    <row r="232" spans="1:8">
      <c r="A232">
        <v>230258</v>
      </c>
      <c r="B232" t="s">
        <v>264</v>
      </c>
      <c r="C232">
        <v>30</v>
      </c>
      <c r="D232">
        <v>82</v>
      </c>
      <c r="E232">
        <v>82</v>
      </c>
      <c r="F232" t="s">
        <v>12</v>
      </c>
      <c r="G232" t="s">
        <v>19</v>
      </c>
      <c r="H232">
        <v>53</v>
      </c>
    </row>
    <row r="233" spans="1:8">
      <c r="A233">
        <v>230225</v>
      </c>
      <c r="B233" t="s">
        <v>265</v>
      </c>
      <c r="C233">
        <v>34</v>
      </c>
      <c r="D233">
        <v>82</v>
      </c>
      <c r="E233">
        <v>82</v>
      </c>
      <c r="F233" t="s">
        <v>12</v>
      </c>
      <c r="G233" t="s">
        <v>26</v>
      </c>
      <c r="H233">
        <v>56</v>
      </c>
    </row>
    <row r="234" spans="1:8">
      <c r="A234">
        <v>230168</v>
      </c>
      <c r="B234" t="s">
        <v>266</v>
      </c>
      <c r="C234">
        <v>30</v>
      </c>
      <c r="D234">
        <v>82</v>
      </c>
      <c r="E234">
        <v>82</v>
      </c>
      <c r="F234" t="s">
        <v>12</v>
      </c>
      <c r="G234" t="s">
        <v>17</v>
      </c>
      <c r="H234">
        <v>8</v>
      </c>
    </row>
    <row r="235" spans="1:8">
      <c r="A235">
        <v>227055</v>
      </c>
      <c r="B235" t="s">
        <v>267</v>
      </c>
      <c r="C235">
        <v>23</v>
      </c>
      <c r="D235">
        <v>82</v>
      </c>
      <c r="E235">
        <v>87</v>
      </c>
      <c r="F235" t="s">
        <v>12</v>
      </c>
      <c r="G235" t="s">
        <v>51</v>
      </c>
      <c r="H235">
        <v>66</v>
      </c>
    </row>
    <row r="236" spans="1:8">
      <c r="A236">
        <v>224411</v>
      </c>
      <c r="B236" t="s">
        <v>268</v>
      </c>
      <c r="C236">
        <v>21</v>
      </c>
      <c r="D236">
        <v>82</v>
      </c>
      <c r="E236">
        <v>86</v>
      </c>
      <c r="F236" t="s">
        <v>12</v>
      </c>
      <c r="G236" t="s">
        <v>61</v>
      </c>
      <c r="H236">
        <v>75</v>
      </c>
    </row>
    <row r="237" spans="1:8">
      <c r="A237">
        <v>223959</v>
      </c>
      <c r="B237" t="s">
        <v>269</v>
      </c>
      <c r="C237">
        <v>22</v>
      </c>
      <c r="D237">
        <v>82</v>
      </c>
      <c r="E237">
        <v>87</v>
      </c>
      <c r="F237" t="s">
        <v>12</v>
      </c>
      <c r="G237" t="s">
        <v>30</v>
      </c>
      <c r="H237">
        <v>50</v>
      </c>
    </row>
    <row r="238" spans="1:8">
      <c r="A238">
        <v>222737</v>
      </c>
      <c r="B238" t="s">
        <v>270</v>
      </c>
      <c r="C238">
        <v>21</v>
      </c>
      <c r="D238">
        <v>82</v>
      </c>
      <c r="E238">
        <v>89</v>
      </c>
      <c r="F238" t="s">
        <v>9</v>
      </c>
      <c r="G238" t="s">
        <v>87</v>
      </c>
      <c r="H238">
        <v>75</v>
      </c>
    </row>
    <row r="239" spans="1:8">
      <c r="A239">
        <v>221087</v>
      </c>
      <c r="B239" t="s">
        <v>271</v>
      </c>
      <c r="C239">
        <v>23</v>
      </c>
      <c r="D239">
        <v>82</v>
      </c>
      <c r="E239">
        <v>87</v>
      </c>
      <c r="F239" t="s">
        <v>9</v>
      </c>
      <c r="G239" t="s">
        <v>17</v>
      </c>
      <c r="H239">
        <v>19</v>
      </c>
    </row>
    <row r="240" spans="1:8">
      <c r="A240">
        <v>220814</v>
      </c>
      <c r="B240" t="s">
        <v>272</v>
      </c>
      <c r="C240">
        <v>22</v>
      </c>
      <c r="D240">
        <v>82</v>
      </c>
      <c r="E240">
        <v>88</v>
      </c>
      <c r="F240" t="s">
        <v>9</v>
      </c>
      <c r="G240" t="s">
        <v>64</v>
      </c>
      <c r="H240">
        <v>42</v>
      </c>
    </row>
    <row r="241" spans="1:8">
      <c r="A241">
        <v>220440</v>
      </c>
      <c r="B241" t="s">
        <v>273</v>
      </c>
      <c r="C241">
        <v>23</v>
      </c>
      <c r="D241">
        <v>82</v>
      </c>
      <c r="E241">
        <v>88</v>
      </c>
      <c r="F241" t="s">
        <v>9</v>
      </c>
      <c r="G241" t="s">
        <v>49</v>
      </c>
      <c r="H241">
        <v>23</v>
      </c>
    </row>
    <row r="242" spans="1:8">
      <c r="A242">
        <v>216354</v>
      </c>
      <c r="B242" t="s">
        <v>274</v>
      </c>
      <c r="C242">
        <v>27</v>
      </c>
      <c r="D242">
        <v>82</v>
      </c>
      <c r="E242">
        <v>83</v>
      </c>
      <c r="F242" t="s">
        <v>12</v>
      </c>
      <c r="G242" t="s">
        <v>30</v>
      </c>
      <c r="H242">
        <v>86</v>
      </c>
    </row>
    <row r="243" spans="1:8">
      <c r="A243">
        <v>216267</v>
      </c>
      <c r="B243" t="s">
        <v>275</v>
      </c>
      <c r="C243">
        <v>24</v>
      </c>
      <c r="D243">
        <v>82</v>
      </c>
      <c r="E243">
        <v>87</v>
      </c>
      <c r="F243" t="s">
        <v>9</v>
      </c>
      <c r="G243" t="s">
        <v>64</v>
      </c>
      <c r="H243">
        <v>57</v>
      </c>
    </row>
    <row r="244" spans="1:8">
      <c r="A244">
        <v>216194</v>
      </c>
      <c r="B244" t="s">
        <v>276</v>
      </c>
      <c r="C244">
        <v>28</v>
      </c>
      <c r="D244">
        <v>82</v>
      </c>
      <c r="E244">
        <v>83</v>
      </c>
      <c r="F244" t="s">
        <v>12</v>
      </c>
      <c r="G244" t="s">
        <v>19</v>
      </c>
      <c r="H244">
        <v>51</v>
      </c>
    </row>
    <row r="245" spans="1:8">
      <c r="A245">
        <v>212404</v>
      </c>
      <c r="B245" t="s">
        <v>277</v>
      </c>
      <c r="C245">
        <v>24</v>
      </c>
      <c r="D245">
        <v>82</v>
      </c>
      <c r="E245">
        <v>87</v>
      </c>
      <c r="F245" t="s">
        <v>9</v>
      </c>
      <c r="G245" t="s">
        <v>51</v>
      </c>
      <c r="H245">
        <v>70</v>
      </c>
    </row>
    <row r="246" spans="1:8">
      <c r="A246">
        <v>212194</v>
      </c>
      <c r="B246" t="s">
        <v>278</v>
      </c>
      <c r="C246">
        <v>22</v>
      </c>
      <c r="D246">
        <v>82</v>
      </c>
      <c r="E246">
        <v>88</v>
      </c>
      <c r="F246" t="s">
        <v>12</v>
      </c>
      <c r="G246" t="s">
        <v>61</v>
      </c>
      <c r="H246">
        <v>78</v>
      </c>
    </row>
    <row r="247" spans="1:8">
      <c r="A247">
        <v>211320</v>
      </c>
      <c r="B247" t="s">
        <v>279</v>
      </c>
      <c r="C247">
        <v>23</v>
      </c>
      <c r="D247">
        <v>82</v>
      </c>
      <c r="E247">
        <v>86</v>
      </c>
      <c r="F247" t="s">
        <v>12</v>
      </c>
      <c r="G247" t="s">
        <v>32</v>
      </c>
      <c r="H247">
        <v>33</v>
      </c>
    </row>
    <row r="248" spans="1:8">
      <c r="A248">
        <v>210617</v>
      </c>
      <c r="B248" t="s">
        <v>280</v>
      </c>
      <c r="C248">
        <v>23</v>
      </c>
      <c r="D248">
        <v>82</v>
      </c>
      <c r="E248">
        <v>86</v>
      </c>
      <c r="F248" t="s">
        <v>9</v>
      </c>
      <c r="G248" t="s">
        <v>51</v>
      </c>
      <c r="H248">
        <v>77</v>
      </c>
    </row>
    <row r="249" spans="1:8">
      <c r="A249">
        <v>210514</v>
      </c>
      <c r="B249" t="s">
        <v>281</v>
      </c>
      <c r="C249">
        <v>24</v>
      </c>
      <c r="D249">
        <v>82</v>
      </c>
      <c r="E249">
        <v>88</v>
      </c>
      <c r="F249" t="s">
        <v>12</v>
      </c>
      <c r="G249" t="s">
        <v>102</v>
      </c>
      <c r="H249">
        <v>58</v>
      </c>
    </row>
    <row r="250" spans="1:8">
      <c r="A250">
        <v>210413</v>
      </c>
      <c r="B250" t="s">
        <v>282</v>
      </c>
      <c r="C250">
        <v>23</v>
      </c>
      <c r="D250">
        <v>82</v>
      </c>
      <c r="E250">
        <v>89</v>
      </c>
      <c r="F250" t="s">
        <v>9</v>
      </c>
      <c r="G250" t="s">
        <v>49</v>
      </c>
      <c r="H250">
        <v>30</v>
      </c>
    </row>
    <row r="251" spans="1:8">
      <c r="A251">
        <v>209989</v>
      </c>
      <c r="B251" t="s">
        <v>283</v>
      </c>
      <c r="C251">
        <v>25</v>
      </c>
      <c r="D251">
        <v>82</v>
      </c>
      <c r="E251">
        <v>88</v>
      </c>
      <c r="F251" t="s">
        <v>12</v>
      </c>
      <c r="G251" t="s">
        <v>43</v>
      </c>
      <c r="H251">
        <v>63</v>
      </c>
    </row>
    <row r="252" spans="1:8">
      <c r="A252">
        <v>209297</v>
      </c>
      <c r="B252" t="s">
        <v>284</v>
      </c>
      <c r="C252">
        <v>25</v>
      </c>
      <c r="D252">
        <v>82</v>
      </c>
      <c r="E252">
        <v>84</v>
      </c>
      <c r="F252" t="s">
        <v>9</v>
      </c>
      <c r="G252" t="s">
        <v>99</v>
      </c>
      <c r="H252">
        <v>74</v>
      </c>
    </row>
    <row r="253" spans="1:8">
      <c r="A253">
        <v>208830</v>
      </c>
      <c r="B253" t="s">
        <v>285</v>
      </c>
      <c r="C253">
        <v>31</v>
      </c>
      <c r="D253">
        <v>82</v>
      </c>
      <c r="E253">
        <v>82</v>
      </c>
      <c r="F253" t="s">
        <v>12</v>
      </c>
      <c r="G253" t="s">
        <v>13</v>
      </c>
      <c r="H253">
        <v>85</v>
      </c>
    </row>
    <row r="254" spans="1:8">
      <c r="A254">
        <v>208596</v>
      </c>
      <c r="B254" t="s">
        <v>286</v>
      </c>
      <c r="C254">
        <v>24</v>
      </c>
      <c r="D254">
        <v>82</v>
      </c>
      <c r="E254">
        <v>87</v>
      </c>
      <c r="F254" t="s">
        <v>12</v>
      </c>
      <c r="G254" t="s">
        <v>45</v>
      </c>
      <c r="H254">
        <v>88</v>
      </c>
    </row>
    <row r="255" spans="1:8">
      <c r="A255">
        <v>208448</v>
      </c>
      <c r="B255" t="s">
        <v>287</v>
      </c>
      <c r="C255">
        <v>26</v>
      </c>
      <c r="D255">
        <v>82</v>
      </c>
      <c r="E255">
        <v>83</v>
      </c>
      <c r="F255" t="s">
        <v>12</v>
      </c>
      <c r="G255" t="s">
        <v>61</v>
      </c>
      <c r="H255">
        <v>70</v>
      </c>
    </row>
    <row r="256" spans="1:8">
      <c r="A256">
        <v>207494</v>
      </c>
      <c r="B256" t="s">
        <v>288</v>
      </c>
      <c r="C256">
        <v>25</v>
      </c>
      <c r="D256">
        <v>82</v>
      </c>
      <c r="E256">
        <v>83</v>
      </c>
      <c r="F256" t="s">
        <v>12</v>
      </c>
      <c r="G256" t="s">
        <v>39</v>
      </c>
      <c r="H256">
        <v>78</v>
      </c>
    </row>
    <row r="257" spans="1:8">
      <c r="A257">
        <v>207471</v>
      </c>
      <c r="B257" t="s">
        <v>289</v>
      </c>
      <c r="C257">
        <v>29</v>
      </c>
      <c r="D257">
        <v>82</v>
      </c>
      <c r="E257">
        <v>82</v>
      </c>
      <c r="F257" t="s">
        <v>9</v>
      </c>
      <c r="G257" t="s">
        <v>30</v>
      </c>
      <c r="H257">
        <v>74</v>
      </c>
    </row>
    <row r="258" spans="1:8">
      <c r="A258">
        <v>205678</v>
      </c>
      <c r="B258" t="s">
        <v>290</v>
      </c>
      <c r="C258">
        <v>28</v>
      </c>
      <c r="D258">
        <v>82</v>
      </c>
      <c r="E258">
        <v>82</v>
      </c>
      <c r="F258" t="s">
        <v>12</v>
      </c>
      <c r="G258" t="s">
        <v>51</v>
      </c>
      <c r="H258">
        <v>80</v>
      </c>
    </row>
    <row r="259" spans="1:8">
      <c r="A259">
        <v>205452</v>
      </c>
      <c r="B259" t="s">
        <v>291</v>
      </c>
      <c r="C259">
        <v>25</v>
      </c>
      <c r="D259">
        <v>82</v>
      </c>
      <c r="E259">
        <v>84</v>
      </c>
      <c r="F259" t="s">
        <v>12</v>
      </c>
      <c r="G259" t="s">
        <v>32</v>
      </c>
      <c r="H259">
        <v>27</v>
      </c>
    </row>
    <row r="260" spans="1:8">
      <c r="A260">
        <v>203551</v>
      </c>
      <c r="B260" t="s">
        <v>292</v>
      </c>
      <c r="C260">
        <v>27</v>
      </c>
      <c r="D260">
        <v>82</v>
      </c>
      <c r="E260">
        <v>83</v>
      </c>
      <c r="F260" t="s">
        <v>12</v>
      </c>
      <c r="G260" t="s">
        <v>102</v>
      </c>
      <c r="H260">
        <v>70</v>
      </c>
    </row>
    <row r="261" spans="1:8">
      <c r="A261">
        <v>203263</v>
      </c>
      <c r="B261" t="s">
        <v>293</v>
      </c>
      <c r="C261">
        <v>25</v>
      </c>
      <c r="D261">
        <v>82</v>
      </c>
      <c r="E261">
        <v>85</v>
      </c>
      <c r="F261" t="s">
        <v>12</v>
      </c>
      <c r="G261" t="s">
        <v>49</v>
      </c>
      <c r="H261">
        <v>43</v>
      </c>
    </row>
    <row r="262" spans="1:8">
      <c r="A262">
        <v>202371</v>
      </c>
      <c r="B262" t="s">
        <v>294</v>
      </c>
      <c r="C262">
        <v>26</v>
      </c>
      <c r="D262">
        <v>82</v>
      </c>
      <c r="E262">
        <v>83</v>
      </c>
      <c r="F262" t="s">
        <v>12</v>
      </c>
      <c r="G262" t="s">
        <v>51</v>
      </c>
      <c r="H262">
        <v>76</v>
      </c>
    </row>
    <row r="263" spans="1:8">
      <c r="A263">
        <v>201956</v>
      </c>
      <c r="B263" t="s">
        <v>295</v>
      </c>
      <c r="C263">
        <v>27</v>
      </c>
      <c r="D263">
        <v>82</v>
      </c>
      <c r="E263">
        <v>82</v>
      </c>
      <c r="F263" t="s">
        <v>12</v>
      </c>
      <c r="G263" t="s">
        <v>32</v>
      </c>
      <c r="H263">
        <v>38</v>
      </c>
    </row>
    <row r="264" spans="1:8">
      <c r="A264">
        <v>201455</v>
      </c>
      <c r="B264" t="s">
        <v>296</v>
      </c>
      <c r="C264">
        <v>25</v>
      </c>
      <c r="D264">
        <v>82</v>
      </c>
      <c r="E264">
        <v>85</v>
      </c>
      <c r="F264" t="s">
        <v>9</v>
      </c>
      <c r="G264" t="s">
        <v>99</v>
      </c>
      <c r="H264">
        <v>69</v>
      </c>
    </row>
    <row r="265" spans="1:8">
      <c r="A265">
        <v>201400</v>
      </c>
      <c r="B265" t="s">
        <v>297</v>
      </c>
      <c r="C265">
        <v>25</v>
      </c>
      <c r="D265">
        <v>82</v>
      </c>
      <c r="E265">
        <v>87</v>
      </c>
      <c r="F265" t="s">
        <v>9</v>
      </c>
      <c r="G265" t="s">
        <v>39</v>
      </c>
      <c r="H265">
        <v>73</v>
      </c>
    </row>
    <row r="266" spans="1:8">
      <c r="A266">
        <v>201305</v>
      </c>
      <c r="B266" t="s">
        <v>298</v>
      </c>
      <c r="C266">
        <v>27</v>
      </c>
      <c r="D266">
        <v>82</v>
      </c>
      <c r="E266">
        <v>83</v>
      </c>
      <c r="F266" t="s">
        <v>12</v>
      </c>
      <c r="G266" t="s">
        <v>49</v>
      </c>
      <c r="H266">
        <v>42</v>
      </c>
    </row>
    <row r="267" spans="1:8">
      <c r="A267">
        <v>201153</v>
      </c>
      <c r="B267" t="s">
        <v>299</v>
      </c>
      <c r="C267">
        <v>25</v>
      </c>
      <c r="D267">
        <v>82</v>
      </c>
      <c r="E267">
        <v>85</v>
      </c>
      <c r="F267" t="s">
        <v>12</v>
      </c>
      <c r="G267" t="s">
        <v>13</v>
      </c>
      <c r="H267">
        <v>80</v>
      </c>
    </row>
    <row r="268" spans="1:8">
      <c r="A268">
        <v>199987</v>
      </c>
      <c r="B268" t="s">
        <v>300</v>
      </c>
      <c r="C268">
        <v>29</v>
      </c>
      <c r="D268">
        <v>82</v>
      </c>
      <c r="E268">
        <v>84</v>
      </c>
      <c r="F268" t="s">
        <v>12</v>
      </c>
      <c r="G268" t="s">
        <v>17</v>
      </c>
      <c r="H268">
        <v>10</v>
      </c>
    </row>
    <row r="269" spans="1:8">
      <c r="A269">
        <v>199451</v>
      </c>
      <c r="B269" t="s">
        <v>301</v>
      </c>
      <c r="C269">
        <v>27</v>
      </c>
      <c r="D269">
        <v>82</v>
      </c>
      <c r="E269">
        <v>82</v>
      </c>
      <c r="F269" t="s">
        <v>12</v>
      </c>
      <c r="G269" t="s">
        <v>24</v>
      </c>
      <c r="H269">
        <v>84</v>
      </c>
    </row>
    <row r="270" spans="1:8">
      <c r="A270">
        <v>198951</v>
      </c>
      <c r="B270" t="s">
        <v>302</v>
      </c>
      <c r="C270">
        <v>27</v>
      </c>
      <c r="D270">
        <v>82</v>
      </c>
      <c r="E270">
        <v>83</v>
      </c>
      <c r="F270" t="s">
        <v>12</v>
      </c>
      <c r="G270" t="s">
        <v>13</v>
      </c>
      <c r="H270">
        <v>84</v>
      </c>
    </row>
    <row r="271" spans="1:8">
      <c r="A271">
        <v>198950</v>
      </c>
      <c r="B271" t="s">
        <v>303</v>
      </c>
      <c r="C271">
        <v>26</v>
      </c>
      <c r="D271">
        <v>82</v>
      </c>
      <c r="E271">
        <v>83</v>
      </c>
      <c r="F271" t="s">
        <v>9</v>
      </c>
      <c r="G271" t="s">
        <v>19</v>
      </c>
      <c r="H271">
        <v>78</v>
      </c>
    </row>
    <row r="272" spans="1:8">
      <c r="A272">
        <v>198717</v>
      </c>
      <c r="B272" t="s">
        <v>304</v>
      </c>
      <c r="C272">
        <v>25</v>
      </c>
      <c r="D272">
        <v>82</v>
      </c>
      <c r="E272">
        <v>85</v>
      </c>
      <c r="F272" t="s">
        <v>12</v>
      </c>
      <c r="G272" t="s">
        <v>45</v>
      </c>
      <c r="H272">
        <v>77</v>
      </c>
    </row>
    <row r="273" spans="1:8">
      <c r="A273">
        <v>198706</v>
      </c>
      <c r="B273" t="s">
        <v>305</v>
      </c>
      <c r="C273">
        <v>25</v>
      </c>
      <c r="D273">
        <v>82</v>
      </c>
      <c r="E273">
        <v>85</v>
      </c>
      <c r="F273" t="s">
        <v>12</v>
      </c>
      <c r="G273" t="s">
        <v>306</v>
      </c>
      <c r="H273">
        <v>80</v>
      </c>
    </row>
    <row r="274" spans="1:8">
      <c r="A274">
        <v>198164</v>
      </c>
      <c r="B274" t="s">
        <v>307</v>
      </c>
      <c r="C274">
        <v>28</v>
      </c>
      <c r="D274">
        <v>82</v>
      </c>
      <c r="E274">
        <v>82</v>
      </c>
      <c r="F274" t="s">
        <v>12</v>
      </c>
      <c r="G274" t="s">
        <v>21</v>
      </c>
      <c r="H274">
        <v>78</v>
      </c>
    </row>
    <row r="275" spans="1:8">
      <c r="A275">
        <v>198141</v>
      </c>
      <c r="B275" t="s">
        <v>308</v>
      </c>
      <c r="C275">
        <v>27</v>
      </c>
      <c r="D275">
        <v>82</v>
      </c>
      <c r="E275">
        <v>83</v>
      </c>
      <c r="F275" t="s">
        <v>12</v>
      </c>
      <c r="G275" t="s">
        <v>32</v>
      </c>
      <c r="H275">
        <v>55</v>
      </c>
    </row>
    <row r="276" spans="1:8">
      <c r="A276">
        <v>197655</v>
      </c>
      <c r="B276" t="s">
        <v>309</v>
      </c>
      <c r="C276">
        <v>27</v>
      </c>
      <c r="D276">
        <v>82</v>
      </c>
      <c r="E276">
        <v>83</v>
      </c>
      <c r="F276" t="s">
        <v>12</v>
      </c>
      <c r="G276" t="s">
        <v>26</v>
      </c>
      <c r="H276">
        <v>42</v>
      </c>
    </row>
    <row r="277" spans="1:8">
      <c r="A277">
        <v>195093</v>
      </c>
      <c r="B277" t="s">
        <v>310</v>
      </c>
      <c r="C277">
        <v>26</v>
      </c>
      <c r="D277">
        <v>82</v>
      </c>
      <c r="E277">
        <v>83</v>
      </c>
      <c r="F277" t="s">
        <v>12</v>
      </c>
      <c r="G277" t="s">
        <v>13</v>
      </c>
      <c r="H277">
        <v>84</v>
      </c>
    </row>
    <row r="278" spans="1:8">
      <c r="A278">
        <v>193525</v>
      </c>
      <c r="B278" t="s">
        <v>311</v>
      </c>
      <c r="C278">
        <v>27</v>
      </c>
      <c r="D278">
        <v>82</v>
      </c>
      <c r="E278">
        <v>82</v>
      </c>
      <c r="F278" t="s">
        <v>12</v>
      </c>
      <c r="G278" t="s">
        <v>102</v>
      </c>
      <c r="H278">
        <v>56</v>
      </c>
    </row>
    <row r="279" spans="1:8">
      <c r="A279">
        <v>193469</v>
      </c>
      <c r="B279" t="s">
        <v>312</v>
      </c>
      <c r="C279">
        <v>29</v>
      </c>
      <c r="D279">
        <v>82</v>
      </c>
      <c r="E279">
        <v>83</v>
      </c>
      <c r="F279" t="s">
        <v>9</v>
      </c>
      <c r="G279" t="s">
        <v>49</v>
      </c>
      <c r="H279">
        <v>37</v>
      </c>
    </row>
    <row r="280" spans="1:8">
      <c r="A280">
        <v>193283</v>
      </c>
      <c r="B280" t="s">
        <v>313</v>
      </c>
      <c r="C280">
        <v>26</v>
      </c>
      <c r="D280">
        <v>82</v>
      </c>
      <c r="E280">
        <v>83</v>
      </c>
      <c r="F280" t="s">
        <v>9</v>
      </c>
      <c r="G280" t="s">
        <v>30</v>
      </c>
      <c r="H280">
        <v>72</v>
      </c>
    </row>
    <row r="281" spans="1:8">
      <c r="A281">
        <v>192984</v>
      </c>
      <c r="B281" t="s">
        <v>314</v>
      </c>
      <c r="C281">
        <v>26</v>
      </c>
      <c r="D281">
        <v>82</v>
      </c>
      <c r="E281">
        <v>85</v>
      </c>
      <c r="F281" t="s">
        <v>9</v>
      </c>
      <c r="G281" t="s">
        <v>17</v>
      </c>
      <c r="H281">
        <v>15</v>
      </c>
    </row>
    <row r="282" spans="1:8">
      <c r="A282">
        <v>192318</v>
      </c>
      <c r="B282" t="s">
        <v>315</v>
      </c>
      <c r="C282">
        <v>26</v>
      </c>
      <c r="D282">
        <v>82</v>
      </c>
      <c r="E282">
        <v>85</v>
      </c>
      <c r="F282" t="s">
        <v>12</v>
      </c>
      <c r="G282" t="s">
        <v>99</v>
      </c>
      <c r="H282">
        <v>75</v>
      </c>
    </row>
    <row r="283" spans="1:8">
      <c r="A283">
        <v>192227</v>
      </c>
      <c r="B283" t="s">
        <v>316</v>
      </c>
      <c r="C283">
        <v>26</v>
      </c>
      <c r="D283">
        <v>82</v>
      </c>
      <c r="E283">
        <v>84</v>
      </c>
      <c r="F283" t="s">
        <v>12</v>
      </c>
      <c r="G283" t="s">
        <v>26</v>
      </c>
      <c r="H283">
        <v>58</v>
      </c>
    </row>
    <row r="284" spans="1:8">
      <c r="A284">
        <v>191180</v>
      </c>
      <c r="B284" t="s">
        <v>317</v>
      </c>
      <c r="C284">
        <v>29</v>
      </c>
      <c r="D284">
        <v>82</v>
      </c>
      <c r="E284">
        <v>82</v>
      </c>
      <c r="F284" t="s">
        <v>12</v>
      </c>
      <c r="G284" t="s">
        <v>39</v>
      </c>
      <c r="H284">
        <v>73</v>
      </c>
    </row>
    <row r="285" spans="1:8">
      <c r="A285">
        <v>189505</v>
      </c>
      <c r="B285" t="s">
        <v>318</v>
      </c>
      <c r="C285">
        <v>30</v>
      </c>
      <c r="D285">
        <v>82</v>
      </c>
      <c r="E285">
        <v>82</v>
      </c>
      <c r="F285" t="s">
        <v>12</v>
      </c>
      <c r="G285" t="s">
        <v>87</v>
      </c>
      <c r="H285">
        <v>78</v>
      </c>
    </row>
    <row r="286" spans="1:8">
      <c r="A286">
        <v>189125</v>
      </c>
      <c r="B286" t="s">
        <v>319</v>
      </c>
      <c r="C286">
        <v>28</v>
      </c>
      <c r="D286">
        <v>82</v>
      </c>
      <c r="E286">
        <v>82</v>
      </c>
      <c r="F286" t="s">
        <v>12</v>
      </c>
      <c r="G286" t="s">
        <v>99</v>
      </c>
      <c r="H286">
        <v>70</v>
      </c>
    </row>
    <row r="287" spans="1:8">
      <c r="A287">
        <v>189117</v>
      </c>
      <c r="B287" t="s">
        <v>320</v>
      </c>
      <c r="C287">
        <v>27</v>
      </c>
      <c r="D287">
        <v>82</v>
      </c>
      <c r="E287">
        <v>85</v>
      </c>
      <c r="F287" t="s">
        <v>12</v>
      </c>
      <c r="G287" t="s">
        <v>17</v>
      </c>
      <c r="H287">
        <v>8</v>
      </c>
    </row>
    <row r="288" spans="1:8">
      <c r="A288">
        <v>188803</v>
      </c>
      <c r="B288" t="s">
        <v>321</v>
      </c>
      <c r="C288">
        <v>30</v>
      </c>
      <c r="D288">
        <v>82</v>
      </c>
      <c r="E288">
        <v>82</v>
      </c>
      <c r="F288" t="s">
        <v>12</v>
      </c>
      <c r="G288" t="s">
        <v>61</v>
      </c>
      <c r="H288">
        <v>76</v>
      </c>
    </row>
    <row r="289" spans="1:8">
      <c r="A289">
        <v>187936</v>
      </c>
      <c r="B289" t="s">
        <v>322</v>
      </c>
      <c r="C289">
        <v>29</v>
      </c>
      <c r="D289">
        <v>82</v>
      </c>
      <c r="E289">
        <v>82</v>
      </c>
      <c r="F289" t="s">
        <v>12</v>
      </c>
      <c r="G289" t="s">
        <v>43</v>
      </c>
      <c r="H289">
        <v>64</v>
      </c>
    </row>
    <row r="290" spans="1:8">
      <c r="A290">
        <v>187754</v>
      </c>
      <c r="B290" t="s">
        <v>323</v>
      </c>
      <c r="C290">
        <v>30</v>
      </c>
      <c r="D290">
        <v>82</v>
      </c>
      <c r="E290">
        <v>82</v>
      </c>
      <c r="F290" t="s">
        <v>9</v>
      </c>
      <c r="G290" t="s">
        <v>51</v>
      </c>
      <c r="H290">
        <v>79</v>
      </c>
    </row>
    <row r="291" spans="1:8">
      <c r="A291">
        <v>186561</v>
      </c>
      <c r="B291" t="s">
        <v>324</v>
      </c>
      <c r="C291">
        <v>27</v>
      </c>
      <c r="D291">
        <v>82</v>
      </c>
      <c r="E291">
        <v>83</v>
      </c>
      <c r="F291" t="s">
        <v>12</v>
      </c>
      <c r="G291" t="s">
        <v>39</v>
      </c>
      <c r="H291">
        <v>74</v>
      </c>
    </row>
    <row r="292" spans="1:8">
      <c r="A292">
        <v>186345</v>
      </c>
      <c r="B292" t="s">
        <v>325</v>
      </c>
      <c r="C292">
        <v>27</v>
      </c>
      <c r="D292">
        <v>82</v>
      </c>
      <c r="E292">
        <v>82</v>
      </c>
      <c r="F292" t="s">
        <v>12</v>
      </c>
      <c r="G292" t="s">
        <v>102</v>
      </c>
      <c r="H292">
        <v>48</v>
      </c>
    </row>
    <row r="293" spans="1:8">
      <c r="A293">
        <v>185103</v>
      </c>
      <c r="B293" t="s">
        <v>326</v>
      </c>
      <c r="C293">
        <v>32</v>
      </c>
      <c r="D293">
        <v>82</v>
      </c>
      <c r="E293">
        <v>82</v>
      </c>
      <c r="F293" t="s">
        <v>9</v>
      </c>
      <c r="G293" t="s">
        <v>64</v>
      </c>
      <c r="H293">
        <v>55</v>
      </c>
    </row>
    <row r="294" spans="1:8">
      <c r="A294">
        <v>184484</v>
      </c>
      <c r="B294" t="s">
        <v>327</v>
      </c>
      <c r="C294">
        <v>28</v>
      </c>
      <c r="D294">
        <v>82</v>
      </c>
      <c r="E294">
        <v>82</v>
      </c>
      <c r="F294" t="s">
        <v>12</v>
      </c>
      <c r="G294" t="s">
        <v>39</v>
      </c>
      <c r="H294">
        <v>77</v>
      </c>
    </row>
    <row r="295" spans="1:8">
      <c r="A295">
        <v>184431</v>
      </c>
      <c r="B295" t="s">
        <v>328</v>
      </c>
      <c r="C295">
        <v>31</v>
      </c>
      <c r="D295">
        <v>82</v>
      </c>
      <c r="E295">
        <v>82</v>
      </c>
      <c r="F295" t="s">
        <v>12</v>
      </c>
      <c r="G295" t="s">
        <v>306</v>
      </c>
      <c r="H295">
        <v>80</v>
      </c>
    </row>
    <row r="296" spans="1:8">
      <c r="A296">
        <v>184200</v>
      </c>
      <c r="B296" t="s">
        <v>329</v>
      </c>
      <c r="C296">
        <v>29</v>
      </c>
      <c r="D296">
        <v>82</v>
      </c>
      <c r="E296">
        <v>82</v>
      </c>
      <c r="F296" t="s">
        <v>12</v>
      </c>
      <c r="G296" t="s">
        <v>45</v>
      </c>
      <c r="H296">
        <v>78</v>
      </c>
    </row>
    <row r="297" spans="1:8">
      <c r="A297">
        <v>184144</v>
      </c>
      <c r="B297" t="s">
        <v>330</v>
      </c>
      <c r="C297">
        <v>30</v>
      </c>
      <c r="D297">
        <v>82</v>
      </c>
      <c r="E297">
        <v>82</v>
      </c>
      <c r="F297" t="s">
        <v>9</v>
      </c>
      <c r="G297" t="s">
        <v>39</v>
      </c>
      <c r="H297">
        <v>71</v>
      </c>
    </row>
    <row r="298" spans="1:8">
      <c r="A298">
        <v>183711</v>
      </c>
      <c r="B298" t="s">
        <v>331</v>
      </c>
      <c r="C298">
        <v>28</v>
      </c>
      <c r="D298">
        <v>82</v>
      </c>
      <c r="E298">
        <v>82</v>
      </c>
      <c r="F298" t="s">
        <v>12</v>
      </c>
      <c r="G298" t="s">
        <v>19</v>
      </c>
      <c r="H298">
        <v>67</v>
      </c>
    </row>
    <row r="299" spans="1:8">
      <c r="A299">
        <v>183574</v>
      </c>
      <c r="B299" t="s">
        <v>332</v>
      </c>
      <c r="C299">
        <v>30</v>
      </c>
      <c r="D299">
        <v>82</v>
      </c>
      <c r="E299">
        <v>82</v>
      </c>
      <c r="F299" t="s">
        <v>9</v>
      </c>
      <c r="G299" t="s">
        <v>13</v>
      </c>
      <c r="H299">
        <v>83</v>
      </c>
    </row>
    <row r="300" spans="1:8">
      <c r="A300">
        <v>183498</v>
      </c>
      <c r="B300" t="s">
        <v>333</v>
      </c>
      <c r="C300">
        <v>33</v>
      </c>
      <c r="D300">
        <v>82</v>
      </c>
      <c r="E300">
        <v>82</v>
      </c>
      <c r="F300" t="s">
        <v>12</v>
      </c>
      <c r="G300" t="s">
        <v>75</v>
      </c>
      <c r="H300">
        <v>70</v>
      </c>
    </row>
    <row r="301" spans="1:8">
      <c r="A301">
        <v>183376</v>
      </c>
      <c r="B301" t="s">
        <v>334</v>
      </c>
      <c r="C301">
        <v>29</v>
      </c>
      <c r="D301">
        <v>82</v>
      </c>
      <c r="E301">
        <v>82</v>
      </c>
      <c r="F301" t="s">
        <v>12</v>
      </c>
      <c r="G301" t="s">
        <v>43</v>
      </c>
      <c r="H301">
        <v>49</v>
      </c>
    </row>
    <row r="302" spans="1:8">
      <c r="A302">
        <v>183280</v>
      </c>
      <c r="B302" t="s">
        <v>335</v>
      </c>
      <c r="C302">
        <v>32</v>
      </c>
      <c r="D302">
        <v>82</v>
      </c>
      <c r="E302">
        <v>82</v>
      </c>
      <c r="F302" t="s">
        <v>12</v>
      </c>
      <c r="G302" t="s">
        <v>26</v>
      </c>
      <c r="H302">
        <v>45</v>
      </c>
    </row>
    <row r="303" spans="1:8">
      <c r="A303">
        <v>181786</v>
      </c>
      <c r="B303" t="s">
        <v>336</v>
      </c>
      <c r="C303">
        <v>32</v>
      </c>
      <c r="D303">
        <v>82</v>
      </c>
      <c r="E303">
        <v>82</v>
      </c>
      <c r="F303" t="s">
        <v>12</v>
      </c>
      <c r="G303" t="s">
        <v>49</v>
      </c>
      <c r="H303">
        <v>44</v>
      </c>
    </row>
    <row r="304" spans="1:8">
      <c r="A304">
        <v>181291</v>
      </c>
      <c r="B304" t="s">
        <v>337</v>
      </c>
      <c r="C304">
        <v>27</v>
      </c>
      <c r="D304">
        <v>82</v>
      </c>
      <c r="E304">
        <v>82</v>
      </c>
      <c r="F304" t="s">
        <v>12</v>
      </c>
      <c r="G304" t="s">
        <v>39</v>
      </c>
      <c r="H304">
        <v>70</v>
      </c>
    </row>
    <row r="305" spans="1:8">
      <c r="A305">
        <v>179847</v>
      </c>
      <c r="B305" t="s">
        <v>338</v>
      </c>
      <c r="C305">
        <v>31</v>
      </c>
      <c r="D305">
        <v>82</v>
      </c>
      <c r="E305">
        <v>82</v>
      </c>
      <c r="F305" t="s">
        <v>12</v>
      </c>
      <c r="G305" t="s">
        <v>49</v>
      </c>
      <c r="H305">
        <v>41</v>
      </c>
    </row>
    <row r="306" spans="1:8">
      <c r="A306">
        <v>178509</v>
      </c>
      <c r="B306" t="s">
        <v>339</v>
      </c>
      <c r="C306">
        <v>31</v>
      </c>
      <c r="D306">
        <v>82</v>
      </c>
      <c r="E306">
        <v>82</v>
      </c>
      <c r="F306" t="s">
        <v>9</v>
      </c>
      <c r="G306" t="s">
        <v>13</v>
      </c>
      <c r="H306">
        <v>83</v>
      </c>
    </row>
    <row r="307" spans="1:8">
      <c r="A307">
        <v>173521</v>
      </c>
      <c r="B307" t="s">
        <v>340</v>
      </c>
      <c r="C307">
        <v>31</v>
      </c>
      <c r="D307">
        <v>82</v>
      </c>
      <c r="E307">
        <v>82</v>
      </c>
      <c r="F307" t="s">
        <v>9</v>
      </c>
      <c r="G307" t="s">
        <v>32</v>
      </c>
      <c r="H307">
        <v>43</v>
      </c>
    </row>
    <row r="308" spans="1:8">
      <c r="A308">
        <v>171897</v>
      </c>
      <c r="B308" t="s">
        <v>341</v>
      </c>
      <c r="C308">
        <v>31</v>
      </c>
      <c r="D308">
        <v>82</v>
      </c>
      <c r="E308">
        <v>82</v>
      </c>
      <c r="F308" t="s">
        <v>9</v>
      </c>
      <c r="G308" t="s">
        <v>99</v>
      </c>
      <c r="H308">
        <v>60</v>
      </c>
    </row>
    <row r="309" spans="1:8">
      <c r="A309">
        <v>170481</v>
      </c>
      <c r="B309" t="s">
        <v>342</v>
      </c>
      <c r="C309">
        <v>31</v>
      </c>
      <c r="D309">
        <v>82</v>
      </c>
      <c r="E309">
        <v>82</v>
      </c>
      <c r="F309" t="s">
        <v>12</v>
      </c>
      <c r="G309" t="s">
        <v>26</v>
      </c>
      <c r="H309">
        <v>58</v>
      </c>
    </row>
    <row r="310" spans="1:8">
      <c r="A310">
        <v>168530</v>
      </c>
      <c r="B310" t="s">
        <v>343</v>
      </c>
      <c r="C310">
        <v>32</v>
      </c>
      <c r="D310">
        <v>82</v>
      </c>
      <c r="E310">
        <v>82</v>
      </c>
      <c r="F310" t="s">
        <v>12</v>
      </c>
      <c r="G310" t="s">
        <v>49</v>
      </c>
      <c r="H310">
        <v>38</v>
      </c>
    </row>
    <row r="311" spans="1:8">
      <c r="A311">
        <v>168435</v>
      </c>
      <c r="B311" t="s">
        <v>344</v>
      </c>
      <c r="C311">
        <v>31</v>
      </c>
      <c r="D311">
        <v>82</v>
      </c>
      <c r="E311">
        <v>82</v>
      </c>
      <c r="F311" t="s">
        <v>12</v>
      </c>
      <c r="G311" t="s">
        <v>17</v>
      </c>
      <c r="H311">
        <v>10</v>
      </c>
    </row>
    <row r="312" spans="1:8">
      <c r="A312">
        <v>168354</v>
      </c>
      <c r="B312" t="s">
        <v>345</v>
      </c>
      <c r="C312">
        <v>32</v>
      </c>
      <c r="D312">
        <v>82</v>
      </c>
      <c r="E312">
        <v>82</v>
      </c>
      <c r="F312" t="s">
        <v>9</v>
      </c>
      <c r="G312" t="s">
        <v>17</v>
      </c>
      <c r="H312">
        <v>17</v>
      </c>
    </row>
    <row r="313" spans="1:8">
      <c r="A313">
        <v>165229</v>
      </c>
      <c r="B313" t="s">
        <v>346</v>
      </c>
      <c r="C313">
        <v>32</v>
      </c>
      <c r="D313">
        <v>82</v>
      </c>
      <c r="E313">
        <v>82</v>
      </c>
      <c r="F313" t="s">
        <v>12</v>
      </c>
      <c r="G313" t="s">
        <v>32</v>
      </c>
      <c r="H313">
        <v>32</v>
      </c>
    </row>
    <row r="314" spans="1:8">
      <c r="A314">
        <v>163489</v>
      </c>
      <c r="B314" t="s">
        <v>347</v>
      </c>
      <c r="C314">
        <v>31</v>
      </c>
      <c r="D314">
        <v>82</v>
      </c>
      <c r="E314">
        <v>82</v>
      </c>
      <c r="F314" t="s">
        <v>12</v>
      </c>
      <c r="G314" t="s">
        <v>17</v>
      </c>
      <c r="H314">
        <v>10</v>
      </c>
    </row>
    <row r="315" spans="1:8">
      <c r="A315">
        <v>158963</v>
      </c>
      <c r="B315" t="s">
        <v>348</v>
      </c>
      <c r="C315">
        <v>32</v>
      </c>
      <c r="D315">
        <v>82</v>
      </c>
      <c r="E315">
        <v>82</v>
      </c>
      <c r="F315" t="s">
        <v>12</v>
      </c>
      <c r="G315" t="s">
        <v>43</v>
      </c>
      <c r="H315">
        <v>50</v>
      </c>
    </row>
    <row r="316" spans="1:8">
      <c r="A316">
        <v>146530</v>
      </c>
      <c r="B316" t="s">
        <v>349</v>
      </c>
      <c r="C316">
        <v>35</v>
      </c>
      <c r="D316">
        <v>82</v>
      </c>
      <c r="E316">
        <v>82</v>
      </c>
      <c r="F316" t="s">
        <v>12</v>
      </c>
      <c r="G316" t="s">
        <v>102</v>
      </c>
      <c r="H316">
        <v>61</v>
      </c>
    </row>
    <row r="317" spans="1:8">
      <c r="A317">
        <v>113422</v>
      </c>
      <c r="B317" t="s">
        <v>350</v>
      </c>
      <c r="C317">
        <v>36</v>
      </c>
      <c r="D317">
        <v>82</v>
      </c>
      <c r="E317">
        <v>82</v>
      </c>
      <c r="F317" t="s">
        <v>12</v>
      </c>
      <c r="G317" t="s">
        <v>13</v>
      </c>
      <c r="H317">
        <v>86</v>
      </c>
    </row>
    <row r="318" spans="1:8">
      <c r="A318">
        <v>106231</v>
      </c>
      <c r="B318" t="s">
        <v>351</v>
      </c>
      <c r="C318">
        <v>37</v>
      </c>
      <c r="D318">
        <v>82</v>
      </c>
      <c r="E318">
        <v>82</v>
      </c>
      <c r="F318" t="s">
        <v>12</v>
      </c>
      <c r="G318" t="s">
        <v>13</v>
      </c>
      <c r="H318">
        <v>83</v>
      </c>
    </row>
    <row r="319" spans="1:8">
      <c r="A319">
        <v>48940</v>
      </c>
      <c r="B319" t="s">
        <v>352</v>
      </c>
      <c r="C319">
        <v>36</v>
      </c>
      <c r="D319">
        <v>82</v>
      </c>
      <c r="E319">
        <v>82</v>
      </c>
      <c r="F319" t="s">
        <v>9</v>
      </c>
      <c r="G319" t="s">
        <v>17</v>
      </c>
      <c r="H319">
        <v>12</v>
      </c>
    </row>
    <row r="320" spans="1:8">
      <c r="A320">
        <v>5479</v>
      </c>
      <c r="B320" t="s">
        <v>353</v>
      </c>
      <c r="C320">
        <v>37</v>
      </c>
      <c r="D320">
        <v>82</v>
      </c>
      <c r="E320">
        <v>82</v>
      </c>
      <c r="F320" t="s">
        <v>9</v>
      </c>
      <c r="G320" t="s">
        <v>17</v>
      </c>
      <c r="H320">
        <v>12</v>
      </c>
    </row>
    <row r="321" spans="1:8">
      <c r="A321">
        <v>231677</v>
      </c>
      <c r="B321" t="s">
        <v>354</v>
      </c>
      <c r="C321">
        <v>20</v>
      </c>
      <c r="D321">
        <v>81</v>
      </c>
      <c r="E321">
        <v>89</v>
      </c>
      <c r="F321" t="s">
        <v>12</v>
      </c>
      <c r="G321" t="s">
        <v>15</v>
      </c>
      <c r="H321">
        <v>78</v>
      </c>
    </row>
    <row r="322" spans="1:8">
      <c r="A322">
        <v>230271</v>
      </c>
      <c r="B322" t="s">
        <v>355</v>
      </c>
      <c r="C322">
        <v>30</v>
      </c>
      <c r="D322">
        <v>81</v>
      </c>
      <c r="E322">
        <v>81</v>
      </c>
      <c r="F322" t="s">
        <v>9</v>
      </c>
      <c r="G322" t="s">
        <v>39</v>
      </c>
      <c r="H322">
        <v>72</v>
      </c>
    </row>
    <row r="323" spans="1:8">
      <c r="A323">
        <v>229906</v>
      </c>
      <c r="B323" t="s">
        <v>356</v>
      </c>
      <c r="C323">
        <v>20</v>
      </c>
      <c r="D323">
        <v>81</v>
      </c>
      <c r="E323">
        <v>89</v>
      </c>
      <c r="F323" t="s">
        <v>9</v>
      </c>
      <c r="G323" t="s">
        <v>61</v>
      </c>
      <c r="H323">
        <v>75</v>
      </c>
    </row>
    <row r="324" spans="1:8">
      <c r="A324">
        <v>229237</v>
      </c>
      <c r="B324" t="s">
        <v>357</v>
      </c>
      <c r="C324">
        <v>22</v>
      </c>
      <c r="D324">
        <v>81</v>
      </c>
      <c r="E324">
        <v>87</v>
      </c>
      <c r="F324" t="s">
        <v>12</v>
      </c>
      <c r="G324" t="s">
        <v>49</v>
      </c>
      <c r="H324">
        <v>36</v>
      </c>
    </row>
    <row r="325" spans="1:8">
      <c r="A325">
        <v>228702</v>
      </c>
      <c r="B325" t="s">
        <v>358</v>
      </c>
      <c r="C325">
        <v>21</v>
      </c>
      <c r="D325">
        <v>81</v>
      </c>
      <c r="E325">
        <v>89</v>
      </c>
      <c r="F325" t="s">
        <v>12</v>
      </c>
      <c r="G325" t="s">
        <v>35</v>
      </c>
      <c r="H325">
        <v>52</v>
      </c>
    </row>
    <row r="326" spans="1:8">
      <c r="A326">
        <v>227928</v>
      </c>
      <c r="B326" t="s">
        <v>359</v>
      </c>
      <c r="C326">
        <v>24</v>
      </c>
      <c r="D326">
        <v>81</v>
      </c>
      <c r="E326">
        <v>86</v>
      </c>
      <c r="F326" t="s">
        <v>12</v>
      </c>
      <c r="G326" t="s">
        <v>102</v>
      </c>
      <c r="H326">
        <v>50</v>
      </c>
    </row>
    <row r="327" spans="1:8">
      <c r="A327">
        <v>226456</v>
      </c>
      <c r="B327" t="s">
        <v>360</v>
      </c>
      <c r="C327">
        <v>22</v>
      </c>
      <c r="D327">
        <v>81</v>
      </c>
      <c r="E327">
        <v>86</v>
      </c>
      <c r="F327" t="s">
        <v>12</v>
      </c>
      <c r="G327" t="s">
        <v>39</v>
      </c>
      <c r="H327">
        <v>77</v>
      </c>
    </row>
    <row r="328" spans="1:8">
      <c r="A328">
        <v>226271</v>
      </c>
      <c r="B328" t="s">
        <v>361</v>
      </c>
      <c r="C328">
        <v>22</v>
      </c>
      <c r="D328">
        <v>81</v>
      </c>
      <c r="E328">
        <v>89</v>
      </c>
      <c r="F328" t="s">
        <v>9</v>
      </c>
      <c r="G328" t="s">
        <v>61</v>
      </c>
      <c r="H328">
        <v>79</v>
      </c>
    </row>
    <row r="329" spans="1:8">
      <c r="A329">
        <v>225508</v>
      </c>
      <c r="B329" t="s">
        <v>362</v>
      </c>
      <c r="C329">
        <v>24</v>
      </c>
      <c r="D329">
        <v>81</v>
      </c>
      <c r="E329">
        <v>87</v>
      </c>
      <c r="F329" t="s">
        <v>12</v>
      </c>
      <c r="G329" t="s">
        <v>32</v>
      </c>
      <c r="H329">
        <v>33</v>
      </c>
    </row>
    <row r="330" spans="1:8">
      <c r="A330">
        <v>222509</v>
      </c>
      <c r="B330" t="s">
        <v>363</v>
      </c>
      <c r="C330">
        <v>21</v>
      </c>
      <c r="D330">
        <v>81</v>
      </c>
      <c r="E330">
        <v>88</v>
      </c>
      <c r="F330" t="s">
        <v>12</v>
      </c>
      <c r="G330" t="s">
        <v>30</v>
      </c>
      <c r="H330">
        <v>68</v>
      </c>
    </row>
    <row r="331" spans="1:8">
      <c r="A331">
        <v>221992</v>
      </c>
      <c r="B331" t="s">
        <v>364</v>
      </c>
      <c r="C331">
        <v>22</v>
      </c>
      <c r="D331">
        <v>81</v>
      </c>
      <c r="E331">
        <v>86</v>
      </c>
      <c r="F331" t="s">
        <v>12</v>
      </c>
      <c r="G331" t="s">
        <v>45</v>
      </c>
      <c r="H331">
        <v>77</v>
      </c>
    </row>
    <row r="332" spans="1:8">
      <c r="A332">
        <v>216475</v>
      </c>
      <c r="B332" t="s">
        <v>365</v>
      </c>
      <c r="C332">
        <v>30</v>
      </c>
      <c r="D332">
        <v>81</v>
      </c>
      <c r="E332">
        <v>81</v>
      </c>
      <c r="F332" t="s">
        <v>12</v>
      </c>
      <c r="G332" t="s">
        <v>45</v>
      </c>
      <c r="H332">
        <v>80</v>
      </c>
    </row>
    <row r="333" spans="1:8">
      <c r="A333">
        <v>216451</v>
      </c>
      <c r="B333" t="s">
        <v>366</v>
      </c>
      <c r="C333">
        <v>26</v>
      </c>
      <c r="D333">
        <v>81</v>
      </c>
      <c r="E333">
        <v>82</v>
      </c>
      <c r="F333" t="s">
        <v>12</v>
      </c>
      <c r="G333" t="s">
        <v>35</v>
      </c>
      <c r="H333">
        <v>69</v>
      </c>
    </row>
    <row r="334" spans="1:8">
      <c r="A334">
        <v>216409</v>
      </c>
      <c r="B334" t="s">
        <v>367</v>
      </c>
      <c r="C334">
        <v>24</v>
      </c>
      <c r="D334">
        <v>81</v>
      </c>
      <c r="E334">
        <v>84</v>
      </c>
      <c r="F334" t="s">
        <v>9</v>
      </c>
      <c r="G334" t="s">
        <v>51</v>
      </c>
      <c r="H334">
        <v>74</v>
      </c>
    </row>
    <row r="335" spans="1:8">
      <c r="A335">
        <v>216352</v>
      </c>
      <c r="B335" t="s">
        <v>368</v>
      </c>
      <c r="C335">
        <v>25</v>
      </c>
      <c r="D335">
        <v>81</v>
      </c>
      <c r="E335">
        <v>84</v>
      </c>
      <c r="F335" t="s">
        <v>12</v>
      </c>
      <c r="G335" t="s">
        <v>35</v>
      </c>
      <c r="H335">
        <v>69</v>
      </c>
    </row>
    <row r="336" spans="1:8">
      <c r="A336">
        <v>216201</v>
      </c>
      <c r="B336" t="s">
        <v>369</v>
      </c>
      <c r="C336">
        <v>24</v>
      </c>
      <c r="D336">
        <v>81</v>
      </c>
      <c r="E336">
        <v>87</v>
      </c>
      <c r="F336" t="s">
        <v>12</v>
      </c>
      <c r="G336" t="s">
        <v>15</v>
      </c>
      <c r="H336">
        <v>77</v>
      </c>
    </row>
    <row r="337" spans="1:8">
      <c r="A337">
        <v>214997</v>
      </c>
      <c r="B337" t="s">
        <v>370</v>
      </c>
      <c r="C337">
        <v>23</v>
      </c>
      <c r="D337">
        <v>81</v>
      </c>
      <c r="E337">
        <v>87</v>
      </c>
      <c r="F337" t="s">
        <v>12</v>
      </c>
      <c r="G337" t="s">
        <v>51</v>
      </c>
      <c r="H337">
        <v>82</v>
      </c>
    </row>
    <row r="338" spans="1:8">
      <c r="A338">
        <v>213661</v>
      </c>
      <c r="B338" t="s">
        <v>371</v>
      </c>
      <c r="C338">
        <v>22</v>
      </c>
      <c r="D338">
        <v>81</v>
      </c>
      <c r="E338">
        <v>88</v>
      </c>
      <c r="F338" t="s">
        <v>12</v>
      </c>
      <c r="G338" t="s">
        <v>49</v>
      </c>
      <c r="H338">
        <v>36</v>
      </c>
    </row>
    <row r="339" spans="1:8">
      <c r="A339">
        <v>212814</v>
      </c>
      <c r="B339" t="s">
        <v>372</v>
      </c>
      <c r="C339">
        <v>25</v>
      </c>
      <c r="D339">
        <v>81</v>
      </c>
      <c r="E339">
        <v>84</v>
      </c>
      <c r="F339" t="s">
        <v>12</v>
      </c>
      <c r="G339" t="s">
        <v>39</v>
      </c>
      <c r="H339">
        <v>64</v>
      </c>
    </row>
    <row r="340" spans="1:8">
      <c r="A340">
        <v>212151</v>
      </c>
      <c r="B340" t="s">
        <v>373</v>
      </c>
      <c r="C340">
        <v>23</v>
      </c>
      <c r="D340">
        <v>81</v>
      </c>
      <c r="E340">
        <v>86</v>
      </c>
      <c r="F340" t="s">
        <v>12</v>
      </c>
      <c r="G340" t="s">
        <v>17</v>
      </c>
      <c r="H340">
        <v>18</v>
      </c>
    </row>
    <row r="341" spans="1:8">
      <c r="A341">
        <v>210864</v>
      </c>
      <c r="B341" t="s">
        <v>374</v>
      </c>
      <c r="C341">
        <v>24</v>
      </c>
      <c r="D341">
        <v>81</v>
      </c>
      <c r="E341">
        <v>86</v>
      </c>
      <c r="F341" t="s">
        <v>12</v>
      </c>
      <c r="G341" t="s">
        <v>102</v>
      </c>
      <c r="H341">
        <v>47</v>
      </c>
    </row>
    <row r="342" spans="1:8">
      <c r="A342">
        <v>210406</v>
      </c>
      <c r="B342" t="s">
        <v>375</v>
      </c>
      <c r="C342">
        <v>24</v>
      </c>
      <c r="D342">
        <v>81</v>
      </c>
      <c r="E342">
        <v>88</v>
      </c>
      <c r="F342" t="s">
        <v>12</v>
      </c>
      <c r="G342" t="s">
        <v>19</v>
      </c>
      <c r="H342">
        <v>65</v>
      </c>
    </row>
    <row r="343" spans="1:8">
      <c r="A343">
        <v>210243</v>
      </c>
      <c r="B343" t="s">
        <v>376</v>
      </c>
      <c r="C343">
        <v>24</v>
      </c>
      <c r="D343">
        <v>81</v>
      </c>
      <c r="E343">
        <v>85</v>
      </c>
      <c r="F343" t="s">
        <v>12</v>
      </c>
      <c r="G343" t="s">
        <v>102</v>
      </c>
      <c r="H343">
        <v>61</v>
      </c>
    </row>
    <row r="344" spans="1:8">
      <c r="A344">
        <v>210035</v>
      </c>
      <c r="B344" t="s">
        <v>377</v>
      </c>
      <c r="C344">
        <v>22</v>
      </c>
      <c r="D344">
        <v>81</v>
      </c>
      <c r="E344">
        <v>87</v>
      </c>
      <c r="F344" t="s">
        <v>9</v>
      </c>
      <c r="G344" t="s">
        <v>64</v>
      </c>
      <c r="H344">
        <v>50</v>
      </c>
    </row>
    <row r="345" spans="1:8">
      <c r="A345">
        <v>209889</v>
      </c>
      <c r="B345" t="s">
        <v>378</v>
      </c>
      <c r="C345">
        <v>24</v>
      </c>
      <c r="D345">
        <v>81</v>
      </c>
      <c r="E345">
        <v>86</v>
      </c>
      <c r="F345" t="s">
        <v>9</v>
      </c>
      <c r="G345" t="s">
        <v>61</v>
      </c>
      <c r="H345">
        <v>75</v>
      </c>
    </row>
    <row r="346" spans="1:8">
      <c r="A346">
        <v>208135</v>
      </c>
      <c r="B346" t="s">
        <v>379</v>
      </c>
      <c r="C346">
        <v>25</v>
      </c>
      <c r="D346">
        <v>81</v>
      </c>
      <c r="E346">
        <v>85</v>
      </c>
      <c r="F346" t="s">
        <v>12</v>
      </c>
      <c r="G346" t="s">
        <v>75</v>
      </c>
      <c r="H346">
        <v>73</v>
      </c>
    </row>
    <row r="347" spans="1:8">
      <c r="A347">
        <v>207877</v>
      </c>
      <c r="B347" t="s">
        <v>380</v>
      </c>
      <c r="C347">
        <v>25</v>
      </c>
      <c r="D347">
        <v>81</v>
      </c>
      <c r="E347">
        <v>84</v>
      </c>
      <c r="F347" t="s">
        <v>12</v>
      </c>
      <c r="G347" t="s">
        <v>45</v>
      </c>
      <c r="H347">
        <v>84</v>
      </c>
    </row>
    <row r="348" spans="1:8">
      <c r="A348">
        <v>207664</v>
      </c>
      <c r="B348" t="s">
        <v>381</v>
      </c>
      <c r="C348">
        <v>31</v>
      </c>
      <c r="D348">
        <v>81</v>
      </c>
      <c r="E348">
        <v>81</v>
      </c>
      <c r="F348" t="s">
        <v>12</v>
      </c>
      <c r="G348" t="s">
        <v>45</v>
      </c>
      <c r="H348">
        <v>84</v>
      </c>
    </row>
    <row r="349" spans="1:8">
      <c r="A349">
        <v>206467</v>
      </c>
      <c r="B349" t="s">
        <v>382</v>
      </c>
      <c r="C349">
        <v>25</v>
      </c>
      <c r="D349">
        <v>81</v>
      </c>
      <c r="E349">
        <v>83</v>
      </c>
      <c r="F349" t="s">
        <v>12</v>
      </c>
      <c r="G349" t="s">
        <v>15</v>
      </c>
      <c r="H349">
        <v>82</v>
      </c>
    </row>
    <row r="350" spans="1:8">
      <c r="A350">
        <v>205923</v>
      </c>
      <c r="B350" t="s">
        <v>383</v>
      </c>
      <c r="C350">
        <v>25</v>
      </c>
      <c r="D350">
        <v>81</v>
      </c>
      <c r="E350">
        <v>84</v>
      </c>
      <c r="F350" t="s">
        <v>9</v>
      </c>
      <c r="G350" t="s">
        <v>64</v>
      </c>
      <c r="H350">
        <v>58</v>
      </c>
    </row>
    <row r="351" spans="1:8">
      <c r="A351">
        <v>205362</v>
      </c>
      <c r="B351" t="s">
        <v>384</v>
      </c>
      <c r="C351">
        <v>25</v>
      </c>
      <c r="D351">
        <v>81</v>
      </c>
      <c r="E351">
        <v>84</v>
      </c>
      <c r="F351" t="s">
        <v>9</v>
      </c>
      <c r="G351" t="s">
        <v>49</v>
      </c>
      <c r="H351">
        <v>30</v>
      </c>
    </row>
    <row r="352" spans="1:8">
      <c r="A352">
        <v>205175</v>
      </c>
      <c r="B352" t="s">
        <v>385</v>
      </c>
      <c r="C352">
        <v>24</v>
      </c>
      <c r="D352">
        <v>81</v>
      </c>
      <c r="E352">
        <v>88</v>
      </c>
      <c r="F352" t="s">
        <v>9</v>
      </c>
      <c r="G352" t="s">
        <v>306</v>
      </c>
      <c r="H352">
        <v>88</v>
      </c>
    </row>
    <row r="353" spans="1:8">
      <c r="A353">
        <v>204923</v>
      </c>
      <c r="B353" t="s">
        <v>386</v>
      </c>
      <c r="C353">
        <v>24</v>
      </c>
      <c r="D353">
        <v>81</v>
      </c>
      <c r="E353">
        <v>84</v>
      </c>
      <c r="F353" t="s">
        <v>12</v>
      </c>
      <c r="G353" t="s">
        <v>61</v>
      </c>
      <c r="H353">
        <v>79</v>
      </c>
    </row>
    <row r="354" spans="1:8">
      <c r="A354">
        <v>204884</v>
      </c>
      <c r="B354" t="s">
        <v>387</v>
      </c>
      <c r="C354">
        <v>23</v>
      </c>
      <c r="D354">
        <v>81</v>
      </c>
      <c r="E354">
        <v>86</v>
      </c>
      <c r="F354" t="s">
        <v>9</v>
      </c>
      <c r="G354" t="s">
        <v>64</v>
      </c>
      <c r="H354">
        <v>33</v>
      </c>
    </row>
    <row r="355" spans="1:8">
      <c r="A355">
        <v>204024</v>
      </c>
      <c r="B355" t="s">
        <v>388</v>
      </c>
      <c r="C355">
        <v>27</v>
      </c>
      <c r="D355">
        <v>81</v>
      </c>
      <c r="E355">
        <v>82</v>
      </c>
      <c r="F355" t="s">
        <v>12</v>
      </c>
      <c r="G355" t="s">
        <v>43</v>
      </c>
      <c r="H355">
        <v>45</v>
      </c>
    </row>
    <row r="356" spans="1:8">
      <c r="A356">
        <v>203890</v>
      </c>
      <c r="B356" t="s">
        <v>389</v>
      </c>
      <c r="C356">
        <v>26</v>
      </c>
      <c r="D356">
        <v>81</v>
      </c>
      <c r="E356">
        <v>84</v>
      </c>
      <c r="F356" t="s">
        <v>12</v>
      </c>
      <c r="G356" t="s">
        <v>102</v>
      </c>
      <c r="H356">
        <v>44</v>
      </c>
    </row>
    <row r="357" spans="1:8">
      <c r="A357">
        <v>203486</v>
      </c>
      <c r="B357" t="s">
        <v>390</v>
      </c>
      <c r="C357">
        <v>25</v>
      </c>
      <c r="D357">
        <v>81</v>
      </c>
      <c r="E357">
        <v>83</v>
      </c>
      <c r="F357" t="s">
        <v>12</v>
      </c>
      <c r="G357" t="s">
        <v>87</v>
      </c>
      <c r="H357">
        <v>69</v>
      </c>
    </row>
    <row r="358" spans="1:8">
      <c r="A358">
        <v>202857</v>
      </c>
      <c r="B358" t="s">
        <v>391</v>
      </c>
      <c r="C358">
        <v>28</v>
      </c>
      <c r="D358">
        <v>81</v>
      </c>
      <c r="E358">
        <v>81</v>
      </c>
      <c r="F358" t="s">
        <v>12</v>
      </c>
      <c r="G358" t="s">
        <v>51</v>
      </c>
      <c r="H358">
        <v>72</v>
      </c>
    </row>
    <row r="359" spans="1:8">
      <c r="A359">
        <v>202685</v>
      </c>
      <c r="B359" t="s">
        <v>392</v>
      </c>
      <c r="C359">
        <v>27</v>
      </c>
      <c r="D359">
        <v>81</v>
      </c>
      <c r="E359">
        <v>82</v>
      </c>
      <c r="F359" t="s">
        <v>9</v>
      </c>
      <c r="G359" t="s">
        <v>24</v>
      </c>
      <c r="H359">
        <v>80</v>
      </c>
    </row>
    <row r="360" spans="1:8">
      <c r="A360">
        <v>201454</v>
      </c>
      <c r="B360" t="s">
        <v>393</v>
      </c>
      <c r="C360">
        <v>27</v>
      </c>
      <c r="D360">
        <v>81</v>
      </c>
      <c r="E360">
        <v>82</v>
      </c>
      <c r="F360" t="s">
        <v>9</v>
      </c>
      <c r="G360" t="s">
        <v>64</v>
      </c>
      <c r="H360">
        <v>54</v>
      </c>
    </row>
    <row r="361" spans="1:8">
      <c r="A361">
        <v>200726</v>
      </c>
      <c r="B361" t="s">
        <v>394</v>
      </c>
      <c r="C361">
        <v>27</v>
      </c>
      <c r="D361">
        <v>81</v>
      </c>
      <c r="E361">
        <v>84</v>
      </c>
      <c r="F361" t="s">
        <v>9</v>
      </c>
      <c r="G361" t="s">
        <v>17</v>
      </c>
      <c r="H361">
        <v>11</v>
      </c>
    </row>
    <row r="362" spans="1:8">
      <c r="A362">
        <v>200647</v>
      </c>
      <c r="B362" t="s">
        <v>395</v>
      </c>
      <c r="C362">
        <v>30</v>
      </c>
      <c r="D362">
        <v>81</v>
      </c>
      <c r="E362">
        <v>81</v>
      </c>
      <c r="F362" t="s">
        <v>9</v>
      </c>
      <c r="G362" t="s">
        <v>39</v>
      </c>
      <c r="H362">
        <v>78</v>
      </c>
    </row>
    <row r="363" spans="1:8">
      <c r="A363">
        <v>200610</v>
      </c>
      <c r="B363" t="s">
        <v>396</v>
      </c>
      <c r="C363">
        <v>25</v>
      </c>
      <c r="D363">
        <v>81</v>
      </c>
      <c r="E363">
        <v>83</v>
      </c>
      <c r="F363" t="s">
        <v>9</v>
      </c>
      <c r="G363" t="s">
        <v>13</v>
      </c>
      <c r="H363">
        <v>81</v>
      </c>
    </row>
    <row r="364" spans="1:8">
      <c r="A364">
        <v>200454</v>
      </c>
      <c r="B364" t="s">
        <v>397</v>
      </c>
      <c r="C364">
        <v>24</v>
      </c>
      <c r="D364">
        <v>81</v>
      </c>
      <c r="E364">
        <v>85</v>
      </c>
      <c r="F364" t="s">
        <v>12</v>
      </c>
      <c r="G364" t="s">
        <v>13</v>
      </c>
      <c r="H364">
        <v>85</v>
      </c>
    </row>
    <row r="365" spans="1:8">
      <c r="A365">
        <v>199715</v>
      </c>
      <c r="B365" t="s">
        <v>398</v>
      </c>
      <c r="C365">
        <v>28</v>
      </c>
      <c r="D365">
        <v>81</v>
      </c>
      <c r="E365">
        <v>81</v>
      </c>
      <c r="F365" t="s">
        <v>12</v>
      </c>
      <c r="G365" t="s">
        <v>61</v>
      </c>
      <c r="H365">
        <v>77</v>
      </c>
    </row>
    <row r="366" spans="1:8">
      <c r="A366">
        <v>199503</v>
      </c>
      <c r="B366" t="s">
        <v>399</v>
      </c>
      <c r="C366">
        <v>25</v>
      </c>
      <c r="D366">
        <v>81</v>
      </c>
      <c r="E366">
        <v>84</v>
      </c>
      <c r="F366" t="s">
        <v>9</v>
      </c>
      <c r="G366" t="s">
        <v>35</v>
      </c>
      <c r="H366">
        <v>49</v>
      </c>
    </row>
    <row r="367" spans="1:8">
      <c r="A367">
        <v>199434</v>
      </c>
      <c r="B367" t="s">
        <v>400</v>
      </c>
      <c r="C367">
        <v>29</v>
      </c>
      <c r="D367">
        <v>81</v>
      </c>
      <c r="E367">
        <v>81</v>
      </c>
      <c r="F367" t="s">
        <v>9</v>
      </c>
      <c r="G367" t="s">
        <v>55</v>
      </c>
      <c r="H367">
        <v>74</v>
      </c>
    </row>
    <row r="368" spans="1:8">
      <c r="A368">
        <v>199042</v>
      </c>
      <c r="B368" t="s">
        <v>401</v>
      </c>
      <c r="C368">
        <v>29</v>
      </c>
      <c r="D368">
        <v>81</v>
      </c>
      <c r="E368">
        <v>81</v>
      </c>
      <c r="F368" t="s">
        <v>12</v>
      </c>
      <c r="G368" t="s">
        <v>35</v>
      </c>
      <c r="H368">
        <v>64</v>
      </c>
    </row>
    <row r="369" spans="1:8">
      <c r="A369">
        <v>196889</v>
      </c>
      <c r="B369" t="s">
        <v>402</v>
      </c>
      <c r="C369">
        <v>25</v>
      </c>
      <c r="D369">
        <v>81</v>
      </c>
      <c r="E369">
        <v>81</v>
      </c>
      <c r="F369" t="s">
        <v>9</v>
      </c>
      <c r="G369" t="s">
        <v>87</v>
      </c>
      <c r="H369">
        <v>67</v>
      </c>
    </row>
    <row r="370" spans="1:8">
      <c r="A370">
        <v>195086</v>
      </c>
      <c r="B370" t="s">
        <v>403</v>
      </c>
      <c r="C370">
        <v>28</v>
      </c>
      <c r="D370">
        <v>81</v>
      </c>
      <c r="E370">
        <v>82</v>
      </c>
      <c r="F370" t="s">
        <v>12</v>
      </c>
      <c r="G370" t="s">
        <v>26</v>
      </c>
      <c r="H370">
        <v>33</v>
      </c>
    </row>
    <row r="371" spans="1:8">
      <c r="A371">
        <v>193532</v>
      </c>
      <c r="B371" t="s">
        <v>404</v>
      </c>
      <c r="C371">
        <v>30</v>
      </c>
      <c r="D371">
        <v>81</v>
      </c>
      <c r="E371">
        <v>81</v>
      </c>
      <c r="F371" t="s">
        <v>12</v>
      </c>
      <c r="G371" t="s">
        <v>26</v>
      </c>
      <c r="H371">
        <v>31</v>
      </c>
    </row>
    <row r="372" spans="1:8">
      <c r="A372">
        <v>193348</v>
      </c>
      <c r="B372" t="s">
        <v>405</v>
      </c>
      <c r="C372">
        <v>26</v>
      </c>
      <c r="D372">
        <v>81</v>
      </c>
      <c r="E372">
        <v>81</v>
      </c>
      <c r="F372" t="s">
        <v>9</v>
      </c>
      <c r="G372" t="s">
        <v>39</v>
      </c>
      <c r="H372">
        <v>71</v>
      </c>
    </row>
    <row r="373" spans="1:8">
      <c r="A373">
        <v>193165</v>
      </c>
      <c r="B373" t="s">
        <v>406</v>
      </c>
      <c r="C373">
        <v>25</v>
      </c>
      <c r="D373">
        <v>81</v>
      </c>
      <c r="E373">
        <v>83</v>
      </c>
      <c r="F373" t="s">
        <v>12</v>
      </c>
      <c r="G373" t="s">
        <v>51</v>
      </c>
      <c r="H373">
        <v>76</v>
      </c>
    </row>
    <row r="374" spans="1:8">
      <c r="A374">
        <v>193105</v>
      </c>
      <c r="B374" t="s">
        <v>407</v>
      </c>
      <c r="C374">
        <v>25</v>
      </c>
      <c r="D374">
        <v>81</v>
      </c>
      <c r="E374">
        <v>85</v>
      </c>
      <c r="F374" t="s">
        <v>12</v>
      </c>
      <c r="G374" t="s">
        <v>17</v>
      </c>
      <c r="H374">
        <v>19</v>
      </c>
    </row>
    <row r="375" spans="1:8">
      <c r="A375">
        <v>192641</v>
      </c>
      <c r="B375" t="s">
        <v>408</v>
      </c>
      <c r="C375">
        <v>26</v>
      </c>
      <c r="D375">
        <v>81</v>
      </c>
      <c r="E375">
        <v>82</v>
      </c>
      <c r="F375" t="s">
        <v>12</v>
      </c>
      <c r="G375" t="s">
        <v>32</v>
      </c>
      <c r="H375">
        <v>50</v>
      </c>
    </row>
    <row r="376" spans="1:8">
      <c r="A376">
        <v>191740</v>
      </c>
      <c r="B376" t="s">
        <v>409</v>
      </c>
      <c r="C376">
        <v>28</v>
      </c>
      <c r="D376">
        <v>81</v>
      </c>
      <c r="E376">
        <v>81</v>
      </c>
      <c r="F376" t="s">
        <v>12</v>
      </c>
      <c r="G376" t="s">
        <v>99</v>
      </c>
      <c r="H376">
        <v>71</v>
      </c>
    </row>
    <row r="377" spans="1:8">
      <c r="A377">
        <v>190972</v>
      </c>
      <c r="B377" t="s">
        <v>410</v>
      </c>
      <c r="C377">
        <v>27</v>
      </c>
      <c r="D377">
        <v>81</v>
      </c>
      <c r="E377">
        <v>81</v>
      </c>
      <c r="F377" t="s">
        <v>12</v>
      </c>
      <c r="G377" t="s">
        <v>87</v>
      </c>
      <c r="H377">
        <v>77</v>
      </c>
    </row>
    <row r="378" spans="1:8">
      <c r="A378">
        <v>190813</v>
      </c>
      <c r="B378" t="s">
        <v>411</v>
      </c>
      <c r="C378">
        <v>25</v>
      </c>
      <c r="D378">
        <v>81</v>
      </c>
      <c r="E378">
        <v>82</v>
      </c>
      <c r="F378" t="s">
        <v>12</v>
      </c>
      <c r="G378" t="s">
        <v>61</v>
      </c>
      <c r="H378">
        <v>78</v>
      </c>
    </row>
    <row r="379" spans="1:8">
      <c r="A379">
        <v>189881</v>
      </c>
      <c r="B379" t="s">
        <v>412</v>
      </c>
      <c r="C379">
        <v>28</v>
      </c>
      <c r="D379">
        <v>81</v>
      </c>
      <c r="E379">
        <v>82</v>
      </c>
      <c r="F379" t="s">
        <v>12</v>
      </c>
      <c r="G379" t="s">
        <v>26</v>
      </c>
      <c r="H379">
        <v>54</v>
      </c>
    </row>
    <row r="380" spans="1:8">
      <c r="A380">
        <v>189362</v>
      </c>
      <c r="B380" t="s">
        <v>413</v>
      </c>
      <c r="C380">
        <v>31</v>
      </c>
      <c r="D380">
        <v>81</v>
      </c>
      <c r="E380">
        <v>81</v>
      </c>
      <c r="F380" t="s">
        <v>9</v>
      </c>
      <c r="G380" t="s">
        <v>19</v>
      </c>
      <c r="H380">
        <v>81</v>
      </c>
    </row>
    <row r="381" spans="1:8">
      <c r="A381">
        <v>189358</v>
      </c>
      <c r="B381" t="s">
        <v>414</v>
      </c>
      <c r="C381">
        <v>29</v>
      </c>
      <c r="D381">
        <v>81</v>
      </c>
      <c r="E381">
        <v>81</v>
      </c>
      <c r="F381" t="s">
        <v>12</v>
      </c>
      <c r="G381" t="s">
        <v>39</v>
      </c>
      <c r="H381">
        <v>76</v>
      </c>
    </row>
    <row r="382" spans="1:8">
      <c r="A382">
        <v>188988</v>
      </c>
      <c r="B382" t="s">
        <v>415</v>
      </c>
      <c r="C382">
        <v>25</v>
      </c>
      <c r="D382">
        <v>81</v>
      </c>
      <c r="E382">
        <v>85</v>
      </c>
      <c r="F382" t="s">
        <v>12</v>
      </c>
      <c r="G382" t="s">
        <v>39</v>
      </c>
      <c r="H382">
        <v>70</v>
      </c>
    </row>
    <row r="383" spans="1:8">
      <c r="A383">
        <v>187491</v>
      </c>
      <c r="B383" t="s">
        <v>416</v>
      </c>
      <c r="C383">
        <v>28</v>
      </c>
      <c r="D383">
        <v>81</v>
      </c>
      <c r="E383">
        <v>81</v>
      </c>
      <c r="F383" t="s">
        <v>12</v>
      </c>
      <c r="G383" t="s">
        <v>13</v>
      </c>
      <c r="H383">
        <v>84</v>
      </c>
    </row>
    <row r="384" spans="1:8">
      <c r="A384">
        <v>187072</v>
      </c>
      <c r="B384" t="s">
        <v>417</v>
      </c>
      <c r="C384">
        <v>29</v>
      </c>
      <c r="D384">
        <v>81</v>
      </c>
      <c r="E384">
        <v>81</v>
      </c>
      <c r="F384" t="s">
        <v>12</v>
      </c>
      <c r="G384" t="s">
        <v>306</v>
      </c>
      <c r="H384">
        <v>79</v>
      </c>
    </row>
    <row r="385" spans="1:8">
      <c r="A385">
        <v>185239</v>
      </c>
      <c r="B385" t="s">
        <v>418</v>
      </c>
      <c r="C385">
        <v>28</v>
      </c>
      <c r="D385">
        <v>81</v>
      </c>
      <c r="E385">
        <v>82</v>
      </c>
      <c r="F385" t="s">
        <v>12</v>
      </c>
      <c r="G385" t="s">
        <v>32</v>
      </c>
      <c r="H385">
        <v>28</v>
      </c>
    </row>
    <row r="386" spans="1:8">
      <c r="A386">
        <v>183900</v>
      </c>
      <c r="B386" t="s">
        <v>419</v>
      </c>
      <c r="C386">
        <v>29</v>
      </c>
      <c r="D386">
        <v>81</v>
      </c>
      <c r="E386">
        <v>81</v>
      </c>
      <c r="F386" t="s">
        <v>12</v>
      </c>
      <c r="G386" t="s">
        <v>15</v>
      </c>
      <c r="H386">
        <v>66</v>
      </c>
    </row>
    <row r="387" spans="1:8">
      <c r="A387">
        <v>182494</v>
      </c>
      <c r="B387" t="s">
        <v>420</v>
      </c>
      <c r="C387">
        <v>32</v>
      </c>
      <c r="D387">
        <v>81</v>
      </c>
      <c r="E387">
        <v>81</v>
      </c>
      <c r="F387" t="s">
        <v>12</v>
      </c>
      <c r="G387" t="s">
        <v>17</v>
      </c>
      <c r="H387">
        <v>10</v>
      </c>
    </row>
    <row r="388" spans="1:8">
      <c r="A388">
        <v>179784</v>
      </c>
      <c r="B388" t="s">
        <v>421</v>
      </c>
      <c r="C388">
        <v>30</v>
      </c>
      <c r="D388">
        <v>81</v>
      </c>
      <c r="E388">
        <v>81</v>
      </c>
      <c r="F388" t="s">
        <v>12</v>
      </c>
      <c r="G388" t="s">
        <v>26</v>
      </c>
      <c r="H388">
        <v>51</v>
      </c>
    </row>
    <row r="389" spans="1:8">
      <c r="A389">
        <v>179645</v>
      </c>
      <c r="B389" t="s">
        <v>422</v>
      </c>
      <c r="C389">
        <v>29</v>
      </c>
      <c r="D389">
        <v>81</v>
      </c>
      <c r="E389">
        <v>81</v>
      </c>
      <c r="F389" t="s">
        <v>12</v>
      </c>
      <c r="G389" t="s">
        <v>26</v>
      </c>
      <c r="H389">
        <v>55</v>
      </c>
    </row>
    <row r="390" spans="1:8">
      <c r="A390">
        <v>177458</v>
      </c>
      <c r="B390" t="s">
        <v>423</v>
      </c>
      <c r="C390">
        <v>29</v>
      </c>
      <c r="D390">
        <v>81</v>
      </c>
      <c r="E390">
        <v>81</v>
      </c>
      <c r="F390" t="s">
        <v>12</v>
      </c>
      <c r="G390" t="s">
        <v>49</v>
      </c>
      <c r="H390">
        <v>39</v>
      </c>
    </row>
    <row r="391" spans="1:8">
      <c r="A391">
        <v>177326</v>
      </c>
      <c r="B391" t="s">
        <v>424</v>
      </c>
      <c r="C391">
        <v>33</v>
      </c>
      <c r="D391">
        <v>81</v>
      </c>
      <c r="E391">
        <v>81</v>
      </c>
      <c r="F391" t="s">
        <v>12</v>
      </c>
      <c r="G391" t="s">
        <v>61</v>
      </c>
      <c r="H391">
        <v>74</v>
      </c>
    </row>
    <row r="392" spans="1:8">
      <c r="A392">
        <v>175379</v>
      </c>
      <c r="B392" t="s">
        <v>425</v>
      </c>
      <c r="C392">
        <v>31</v>
      </c>
      <c r="D392">
        <v>81</v>
      </c>
      <c r="E392">
        <v>81</v>
      </c>
      <c r="F392" t="s">
        <v>12</v>
      </c>
      <c r="G392" t="s">
        <v>51</v>
      </c>
      <c r="H392">
        <v>76</v>
      </c>
    </row>
    <row r="393" spans="1:8">
      <c r="A393">
        <v>173909</v>
      </c>
      <c r="B393" t="s">
        <v>426</v>
      </c>
      <c r="C393">
        <v>31</v>
      </c>
      <c r="D393">
        <v>81</v>
      </c>
      <c r="E393">
        <v>81</v>
      </c>
      <c r="F393" t="s">
        <v>12</v>
      </c>
      <c r="G393" t="s">
        <v>99</v>
      </c>
      <c r="H393">
        <v>78</v>
      </c>
    </row>
    <row r="394" spans="1:8">
      <c r="A394">
        <v>173771</v>
      </c>
      <c r="B394" t="s">
        <v>427</v>
      </c>
      <c r="C394">
        <v>33</v>
      </c>
      <c r="D394">
        <v>81</v>
      </c>
      <c r="E394">
        <v>81</v>
      </c>
      <c r="F394" t="s">
        <v>12</v>
      </c>
      <c r="G394" t="s">
        <v>102</v>
      </c>
      <c r="H394">
        <v>65</v>
      </c>
    </row>
    <row r="395" spans="1:8">
      <c r="A395">
        <v>173221</v>
      </c>
      <c r="B395" t="s">
        <v>428</v>
      </c>
      <c r="C395">
        <v>31</v>
      </c>
      <c r="D395">
        <v>81</v>
      </c>
      <c r="E395">
        <v>81</v>
      </c>
      <c r="F395" t="s">
        <v>12</v>
      </c>
      <c r="G395" t="s">
        <v>51</v>
      </c>
      <c r="H395">
        <v>73</v>
      </c>
    </row>
    <row r="396" spans="1:8">
      <c r="A396">
        <v>172522</v>
      </c>
      <c r="B396" t="s">
        <v>429</v>
      </c>
      <c r="C396">
        <v>29</v>
      </c>
      <c r="D396">
        <v>81</v>
      </c>
      <c r="E396">
        <v>81</v>
      </c>
      <c r="F396" t="s">
        <v>12</v>
      </c>
      <c r="G396" t="s">
        <v>102</v>
      </c>
      <c r="H396">
        <v>74</v>
      </c>
    </row>
    <row r="397" spans="1:8">
      <c r="A397">
        <v>170368</v>
      </c>
      <c r="B397" t="s">
        <v>430</v>
      </c>
      <c r="C397">
        <v>26</v>
      </c>
      <c r="D397">
        <v>81</v>
      </c>
      <c r="E397">
        <v>82</v>
      </c>
      <c r="F397" t="s">
        <v>9</v>
      </c>
      <c r="G397" t="s">
        <v>51</v>
      </c>
      <c r="H397">
        <v>74</v>
      </c>
    </row>
    <row r="398" spans="1:8">
      <c r="A398">
        <v>169595</v>
      </c>
      <c r="B398" t="s">
        <v>431</v>
      </c>
      <c r="C398">
        <v>27</v>
      </c>
      <c r="D398">
        <v>81</v>
      </c>
      <c r="E398">
        <v>81</v>
      </c>
      <c r="F398" t="s">
        <v>9</v>
      </c>
      <c r="G398" t="s">
        <v>64</v>
      </c>
      <c r="H398">
        <v>57</v>
      </c>
    </row>
    <row r="399" spans="1:8">
      <c r="A399">
        <v>169416</v>
      </c>
      <c r="B399" t="s">
        <v>432</v>
      </c>
      <c r="C399">
        <v>29</v>
      </c>
      <c r="D399">
        <v>81</v>
      </c>
      <c r="E399">
        <v>81</v>
      </c>
      <c r="F399" t="s">
        <v>9</v>
      </c>
      <c r="G399" t="s">
        <v>87</v>
      </c>
      <c r="H399">
        <v>81</v>
      </c>
    </row>
    <row r="400" spans="1:8">
      <c r="A400">
        <v>169195</v>
      </c>
      <c r="B400" t="s">
        <v>433</v>
      </c>
      <c r="C400">
        <v>30</v>
      </c>
      <c r="D400">
        <v>81</v>
      </c>
      <c r="E400">
        <v>81</v>
      </c>
      <c r="F400" t="s">
        <v>12</v>
      </c>
      <c r="G400" t="s">
        <v>30</v>
      </c>
      <c r="H400">
        <v>65</v>
      </c>
    </row>
    <row r="401" spans="1:8">
      <c r="A401">
        <v>167905</v>
      </c>
      <c r="B401" t="s">
        <v>434</v>
      </c>
      <c r="C401">
        <v>32</v>
      </c>
      <c r="D401">
        <v>81</v>
      </c>
      <c r="E401">
        <v>81</v>
      </c>
      <c r="F401" t="s">
        <v>12</v>
      </c>
      <c r="G401" t="s">
        <v>51</v>
      </c>
      <c r="H401">
        <v>60</v>
      </c>
    </row>
    <row r="402" spans="1:8">
      <c r="A402">
        <v>164835</v>
      </c>
      <c r="B402" t="s">
        <v>435</v>
      </c>
      <c r="C402">
        <v>33</v>
      </c>
      <c r="D402">
        <v>81</v>
      </c>
      <c r="E402">
        <v>81</v>
      </c>
      <c r="F402" t="s">
        <v>12</v>
      </c>
      <c r="G402" t="s">
        <v>17</v>
      </c>
      <c r="H402">
        <v>13</v>
      </c>
    </row>
    <row r="403" spans="1:8">
      <c r="A403">
        <v>162347</v>
      </c>
      <c r="B403" t="s">
        <v>436</v>
      </c>
      <c r="C403">
        <v>31</v>
      </c>
      <c r="D403">
        <v>81</v>
      </c>
      <c r="E403">
        <v>81</v>
      </c>
      <c r="F403" t="s">
        <v>12</v>
      </c>
      <c r="G403" t="s">
        <v>19</v>
      </c>
      <c r="H403">
        <v>74</v>
      </c>
    </row>
    <row r="404" spans="1:8">
      <c r="A404">
        <v>161956</v>
      </c>
      <c r="B404" t="s">
        <v>437</v>
      </c>
      <c r="C404">
        <v>33</v>
      </c>
      <c r="D404">
        <v>81</v>
      </c>
      <c r="E404">
        <v>81</v>
      </c>
      <c r="F404" t="s">
        <v>12</v>
      </c>
      <c r="G404" t="s">
        <v>39</v>
      </c>
      <c r="H404">
        <v>67</v>
      </c>
    </row>
    <row r="405" spans="1:8">
      <c r="A405">
        <v>159261</v>
      </c>
      <c r="B405" t="s">
        <v>438</v>
      </c>
      <c r="C405">
        <v>35</v>
      </c>
      <c r="D405">
        <v>81</v>
      </c>
      <c r="E405">
        <v>81</v>
      </c>
      <c r="F405" t="s">
        <v>12</v>
      </c>
      <c r="G405" t="s">
        <v>24</v>
      </c>
      <c r="H405">
        <v>84</v>
      </c>
    </row>
    <row r="406" spans="1:8">
      <c r="A406">
        <v>159145</v>
      </c>
      <c r="B406" t="s">
        <v>439</v>
      </c>
      <c r="C406">
        <v>32</v>
      </c>
      <c r="D406">
        <v>81</v>
      </c>
      <c r="E406">
        <v>81</v>
      </c>
      <c r="F406" t="s">
        <v>12</v>
      </c>
      <c r="G406" t="s">
        <v>13</v>
      </c>
      <c r="H406">
        <v>84</v>
      </c>
    </row>
    <row r="407" spans="1:8">
      <c r="A407">
        <v>157960</v>
      </c>
      <c r="B407" t="s">
        <v>440</v>
      </c>
      <c r="C407">
        <v>32</v>
      </c>
      <c r="D407">
        <v>81</v>
      </c>
      <c r="E407">
        <v>81</v>
      </c>
      <c r="F407" t="s">
        <v>12</v>
      </c>
      <c r="G407" t="s">
        <v>61</v>
      </c>
      <c r="H407">
        <v>70</v>
      </c>
    </row>
    <row r="408" spans="1:8">
      <c r="A408">
        <v>156519</v>
      </c>
      <c r="B408" t="s">
        <v>441</v>
      </c>
      <c r="C408">
        <v>28</v>
      </c>
      <c r="D408">
        <v>81</v>
      </c>
      <c r="E408">
        <v>81</v>
      </c>
      <c r="F408" t="s">
        <v>12</v>
      </c>
      <c r="G408" t="s">
        <v>99</v>
      </c>
      <c r="H408">
        <v>68</v>
      </c>
    </row>
    <row r="409" spans="1:8">
      <c r="A409">
        <v>144622</v>
      </c>
      <c r="B409" t="s">
        <v>442</v>
      </c>
      <c r="C409">
        <v>33</v>
      </c>
      <c r="D409">
        <v>81</v>
      </c>
      <c r="E409">
        <v>81</v>
      </c>
      <c r="F409" t="s">
        <v>12</v>
      </c>
      <c r="G409" t="s">
        <v>306</v>
      </c>
      <c r="H409">
        <v>78</v>
      </c>
    </row>
    <row r="410" spans="1:8">
      <c r="A410">
        <v>139068</v>
      </c>
      <c r="B410" t="s">
        <v>443</v>
      </c>
      <c r="C410">
        <v>31</v>
      </c>
      <c r="D410">
        <v>81</v>
      </c>
      <c r="E410">
        <v>81</v>
      </c>
      <c r="F410" t="s">
        <v>12</v>
      </c>
      <c r="G410" t="s">
        <v>61</v>
      </c>
      <c r="H410">
        <v>70</v>
      </c>
    </row>
    <row r="411" spans="1:8">
      <c r="A411">
        <v>138412</v>
      </c>
      <c r="B411" t="s">
        <v>444</v>
      </c>
      <c r="C411">
        <v>32</v>
      </c>
      <c r="D411">
        <v>81</v>
      </c>
      <c r="E411">
        <v>81</v>
      </c>
      <c r="F411" t="s">
        <v>12</v>
      </c>
      <c r="G411" t="s">
        <v>99</v>
      </c>
      <c r="H411">
        <v>62</v>
      </c>
    </row>
    <row r="412" spans="1:8">
      <c r="A412">
        <v>112316</v>
      </c>
      <c r="B412" t="s">
        <v>445</v>
      </c>
      <c r="C412">
        <v>34</v>
      </c>
      <c r="D412">
        <v>81</v>
      </c>
      <c r="E412">
        <v>81</v>
      </c>
      <c r="F412" t="s">
        <v>9</v>
      </c>
      <c r="G412" t="s">
        <v>49</v>
      </c>
      <c r="H412">
        <v>52</v>
      </c>
    </row>
    <row r="413" spans="1:8">
      <c r="A413">
        <v>45186</v>
      </c>
      <c r="B413" t="s">
        <v>446</v>
      </c>
      <c r="C413">
        <v>36</v>
      </c>
      <c r="D413">
        <v>81</v>
      </c>
      <c r="E413">
        <v>81</v>
      </c>
      <c r="F413" t="s">
        <v>12</v>
      </c>
      <c r="G413" t="s">
        <v>45</v>
      </c>
      <c r="H413">
        <v>80</v>
      </c>
    </row>
    <row r="414" spans="1:8">
      <c r="A414">
        <v>239207</v>
      </c>
      <c r="B414" t="s">
        <v>447</v>
      </c>
      <c r="C414">
        <v>21</v>
      </c>
      <c r="D414">
        <v>80</v>
      </c>
      <c r="E414">
        <v>85</v>
      </c>
      <c r="F414" t="s">
        <v>12</v>
      </c>
      <c r="G414" t="s">
        <v>13</v>
      </c>
      <c r="H414">
        <v>85</v>
      </c>
    </row>
    <row r="415" spans="1:8">
      <c r="A415">
        <v>235790</v>
      </c>
      <c r="B415" t="s">
        <v>448</v>
      </c>
      <c r="C415">
        <v>19</v>
      </c>
      <c r="D415">
        <v>80</v>
      </c>
      <c r="E415">
        <v>89</v>
      </c>
      <c r="F415" t="s">
        <v>9</v>
      </c>
      <c r="G415" t="s">
        <v>39</v>
      </c>
      <c r="H415">
        <v>72</v>
      </c>
    </row>
    <row r="416" spans="1:8">
      <c r="A416">
        <v>235569</v>
      </c>
      <c r="B416" t="s">
        <v>449</v>
      </c>
      <c r="C416">
        <v>21</v>
      </c>
      <c r="D416">
        <v>80</v>
      </c>
      <c r="E416">
        <v>89</v>
      </c>
      <c r="F416" t="s">
        <v>12</v>
      </c>
      <c r="G416" t="s">
        <v>99</v>
      </c>
      <c r="H416">
        <v>59</v>
      </c>
    </row>
    <row r="417" spans="1:8">
      <c r="A417">
        <v>234906</v>
      </c>
      <c r="B417" t="s">
        <v>450</v>
      </c>
      <c r="C417">
        <v>20</v>
      </c>
      <c r="D417">
        <v>80</v>
      </c>
      <c r="E417">
        <v>90</v>
      </c>
      <c r="F417" t="s">
        <v>12</v>
      </c>
      <c r="G417" t="s">
        <v>61</v>
      </c>
      <c r="H417">
        <v>72</v>
      </c>
    </row>
    <row r="418" spans="1:8">
      <c r="A418">
        <v>234153</v>
      </c>
      <c r="B418" t="s">
        <v>451</v>
      </c>
      <c r="C418">
        <v>21</v>
      </c>
      <c r="D418">
        <v>80</v>
      </c>
      <c r="E418">
        <v>87</v>
      </c>
      <c r="F418" t="s">
        <v>12</v>
      </c>
      <c r="G418" t="s">
        <v>51</v>
      </c>
      <c r="H418">
        <v>74</v>
      </c>
    </row>
    <row r="419" spans="1:8">
      <c r="A419">
        <v>234035</v>
      </c>
      <c r="B419" t="s">
        <v>452</v>
      </c>
      <c r="C419">
        <v>22</v>
      </c>
      <c r="D419">
        <v>80</v>
      </c>
      <c r="E419">
        <v>88</v>
      </c>
      <c r="F419" t="s">
        <v>12</v>
      </c>
      <c r="G419" t="s">
        <v>102</v>
      </c>
      <c r="H419">
        <v>45</v>
      </c>
    </row>
    <row r="420" spans="1:8">
      <c r="A420">
        <v>230977</v>
      </c>
      <c r="B420" t="s">
        <v>453</v>
      </c>
      <c r="C420">
        <v>24</v>
      </c>
      <c r="D420">
        <v>80</v>
      </c>
      <c r="E420">
        <v>84</v>
      </c>
      <c r="F420" t="s">
        <v>9</v>
      </c>
      <c r="G420" t="s">
        <v>39</v>
      </c>
      <c r="H420">
        <v>74</v>
      </c>
    </row>
    <row r="421" spans="1:8">
      <c r="A421">
        <v>230347</v>
      </c>
      <c r="B421" t="s">
        <v>454</v>
      </c>
      <c r="C421">
        <v>30</v>
      </c>
      <c r="D421">
        <v>80</v>
      </c>
      <c r="E421">
        <v>80</v>
      </c>
      <c r="F421" t="s">
        <v>9</v>
      </c>
      <c r="G421" t="s">
        <v>64</v>
      </c>
      <c r="H421">
        <v>51</v>
      </c>
    </row>
    <row r="422" spans="1:8">
      <c r="A422">
        <v>230234</v>
      </c>
      <c r="B422" t="s">
        <v>455</v>
      </c>
      <c r="C422">
        <v>34</v>
      </c>
      <c r="D422">
        <v>80</v>
      </c>
      <c r="E422">
        <v>80</v>
      </c>
      <c r="F422" t="s">
        <v>12</v>
      </c>
      <c r="G422" t="s">
        <v>43</v>
      </c>
      <c r="H422">
        <v>58</v>
      </c>
    </row>
    <row r="423" spans="1:8">
      <c r="A423">
        <v>230142</v>
      </c>
      <c r="B423" t="s">
        <v>456</v>
      </c>
      <c r="C423">
        <v>21</v>
      </c>
      <c r="D423">
        <v>80</v>
      </c>
      <c r="E423">
        <v>87</v>
      </c>
      <c r="F423" t="s">
        <v>9</v>
      </c>
      <c r="G423" t="s">
        <v>39</v>
      </c>
      <c r="H423">
        <v>78</v>
      </c>
    </row>
    <row r="424" spans="1:8">
      <c r="A424">
        <v>228229</v>
      </c>
      <c r="B424" t="s">
        <v>457</v>
      </c>
      <c r="C424">
        <v>26</v>
      </c>
      <c r="D424">
        <v>80</v>
      </c>
      <c r="E424">
        <v>83</v>
      </c>
      <c r="F424" t="s">
        <v>12</v>
      </c>
      <c r="G424" t="s">
        <v>26</v>
      </c>
      <c r="H424">
        <v>31</v>
      </c>
    </row>
    <row r="425" spans="1:8">
      <c r="A425">
        <v>227536</v>
      </c>
      <c r="B425" t="s">
        <v>458</v>
      </c>
      <c r="C425">
        <v>27</v>
      </c>
      <c r="D425">
        <v>80</v>
      </c>
      <c r="E425">
        <v>80</v>
      </c>
      <c r="F425" t="s">
        <v>12</v>
      </c>
      <c r="G425" t="s">
        <v>24</v>
      </c>
      <c r="H425">
        <v>80</v>
      </c>
    </row>
    <row r="426" spans="1:8">
      <c r="A426">
        <v>226851</v>
      </c>
      <c r="B426" t="s">
        <v>459</v>
      </c>
      <c r="C426">
        <v>22</v>
      </c>
      <c r="D426">
        <v>80</v>
      </c>
      <c r="E426">
        <v>86</v>
      </c>
      <c r="F426" t="s">
        <v>12</v>
      </c>
      <c r="G426" t="s">
        <v>102</v>
      </c>
      <c r="H426">
        <v>37</v>
      </c>
    </row>
    <row r="427" spans="1:8">
      <c r="A427">
        <v>226790</v>
      </c>
      <c r="B427" t="s">
        <v>460</v>
      </c>
      <c r="C427">
        <v>21</v>
      </c>
      <c r="D427">
        <v>80</v>
      </c>
      <c r="E427">
        <v>85</v>
      </c>
      <c r="F427" t="s">
        <v>12</v>
      </c>
      <c r="G427" t="s">
        <v>35</v>
      </c>
      <c r="H427">
        <v>50</v>
      </c>
    </row>
    <row r="428" spans="1:8">
      <c r="A428">
        <v>226753</v>
      </c>
      <c r="B428" t="s">
        <v>461</v>
      </c>
      <c r="C428">
        <v>22</v>
      </c>
      <c r="D428">
        <v>80</v>
      </c>
      <c r="E428">
        <v>85</v>
      </c>
      <c r="F428" t="s">
        <v>12</v>
      </c>
      <c r="G428" t="s">
        <v>17</v>
      </c>
      <c r="H428">
        <v>12</v>
      </c>
    </row>
    <row r="429" spans="1:8">
      <c r="A429">
        <v>226226</v>
      </c>
      <c r="B429" t="s">
        <v>462</v>
      </c>
      <c r="C429">
        <v>22</v>
      </c>
      <c r="D429">
        <v>80</v>
      </c>
      <c r="E429">
        <v>86</v>
      </c>
      <c r="F429" t="s">
        <v>9</v>
      </c>
      <c r="G429" t="s">
        <v>19</v>
      </c>
      <c r="H429">
        <v>73</v>
      </c>
    </row>
    <row r="430" spans="1:8">
      <c r="A430">
        <v>224334</v>
      </c>
      <c r="B430" t="s">
        <v>463</v>
      </c>
      <c r="C430">
        <v>26</v>
      </c>
      <c r="D430">
        <v>80</v>
      </c>
      <c r="E430">
        <v>80</v>
      </c>
      <c r="F430" t="s">
        <v>9</v>
      </c>
      <c r="G430" t="s">
        <v>64</v>
      </c>
      <c r="H430">
        <v>65</v>
      </c>
    </row>
    <row r="431" spans="1:8">
      <c r="A431">
        <v>224293</v>
      </c>
      <c r="B431" t="s">
        <v>464</v>
      </c>
      <c r="C431">
        <v>21</v>
      </c>
      <c r="D431">
        <v>80</v>
      </c>
      <c r="E431">
        <v>87</v>
      </c>
      <c r="F431" t="s">
        <v>12</v>
      </c>
      <c r="G431" t="s">
        <v>30</v>
      </c>
      <c r="H431">
        <v>61</v>
      </c>
    </row>
    <row r="432" spans="1:8">
      <c r="A432">
        <v>221639</v>
      </c>
      <c r="B432" t="s">
        <v>465</v>
      </c>
      <c r="C432">
        <v>24</v>
      </c>
      <c r="D432">
        <v>80</v>
      </c>
      <c r="E432">
        <v>85</v>
      </c>
      <c r="F432" t="s">
        <v>12</v>
      </c>
      <c r="G432" t="s">
        <v>13</v>
      </c>
      <c r="H432">
        <v>81</v>
      </c>
    </row>
    <row r="433" spans="1:8">
      <c r="A433">
        <v>221540</v>
      </c>
      <c r="B433" t="s">
        <v>466</v>
      </c>
      <c r="C433">
        <v>28</v>
      </c>
      <c r="D433">
        <v>80</v>
      </c>
      <c r="E433">
        <v>80</v>
      </c>
      <c r="F433" t="s">
        <v>9</v>
      </c>
      <c r="G433" t="s">
        <v>32</v>
      </c>
      <c r="H433">
        <v>50</v>
      </c>
    </row>
    <row r="434" spans="1:8">
      <c r="A434">
        <v>220477</v>
      </c>
      <c r="B434" t="s">
        <v>467</v>
      </c>
      <c r="C434">
        <v>24</v>
      </c>
      <c r="D434">
        <v>80</v>
      </c>
      <c r="E434">
        <v>86</v>
      </c>
      <c r="F434" t="s">
        <v>12</v>
      </c>
      <c r="G434" t="s">
        <v>32</v>
      </c>
      <c r="H434">
        <v>36</v>
      </c>
    </row>
    <row r="435" spans="1:8">
      <c r="A435">
        <v>219985</v>
      </c>
      <c r="B435" t="s">
        <v>468</v>
      </c>
      <c r="C435">
        <v>26</v>
      </c>
      <c r="D435">
        <v>80</v>
      </c>
      <c r="E435">
        <v>81</v>
      </c>
      <c r="F435" t="s">
        <v>12</v>
      </c>
      <c r="G435" t="s">
        <v>61</v>
      </c>
      <c r="H435">
        <v>61</v>
      </c>
    </row>
    <row r="436" spans="1:8">
      <c r="A436">
        <v>219809</v>
      </c>
      <c r="B436" t="s">
        <v>469</v>
      </c>
      <c r="C436">
        <v>23</v>
      </c>
      <c r="D436">
        <v>80</v>
      </c>
      <c r="E436">
        <v>85</v>
      </c>
      <c r="F436" t="s">
        <v>12</v>
      </c>
      <c r="G436" t="s">
        <v>30</v>
      </c>
      <c r="H436">
        <v>37</v>
      </c>
    </row>
    <row r="437" spans="1:8">
      <c r="A437">
        <v>218339</v>
      </c>
      <c r="B437" t="s">
        <v>470</v>
      </c>
      <c r="C437">
        <v>22</v>
      </c>
      <c r="D437">
        <v>80</v>
      </c>
      <c r="E437">
        <v>86</v>
      </c>
      <c r="F437" t="s">
        <v>12</v>
      </c>
      <c r="G437" t="s">
        <v>99</v>
      </c>
      <c r="H437">
        <v>60</v>
      </c>
    </row>
    <row r="438" spans="1:8">
      <c r="A438">
        <v>216547</v>
      </c>
      <c r="B438" t="s">
        <v>471</v>
      </c>
      <c r="C438">
        <v>25</v>
      </c>
      <c r="D438">
        <v>80</v>
      </c>
      <c r="E438">
        <v>83</v>
      </c>
      <c r="F438" t="s">
        <v>12</v>
      </c>
      <c r="G438" t="s">
        <v>87</v>
      </c>
      <c r="H438">
        <v>66</v>
      </c>
    </row>
    <row r="439" spans="1:8">
      <c r="A439">
        <v>215785</v>
      </c>
      <c r="B439" t="s">
        <v>472</v>
      </c>
      <c r="C439">
        <v>23</v>
      </c>
      <c r="D439">
        <v>80</v>
      </c>
      <c r="E439">
        <v>85</v>
      </c>
      <c r="F439" t="s">
        <v>12</v>
      </c>
      <c r="G439" t="s">
        <v>51</v>
      </c>
      <c r="H439">
        <v>78</v>
      </c>
    </row>
    <row r="440" spans="1:8">
      <c r="A440">
        <v>215316</v>
      </c>
      <c r="B440" t="s">
        <v>473</v>
      </c>
      <c r="C440">
        <v>26</v>
      </c>
      <c r="D440">
        <v>80</v>
      </c>
      <c r="E440">
        <v>85</v>
      </c>
      <c r="F440" t="s">
        <v>12</v>
      </c>
      <c r="G440" t="s">
        <v>17</v>
      </c>
      <c r="H440">
        <v>15</v>
      </c>
    </row>
    <row r="441" spans="1:8">
      <c r="A441">
        <v>214584</v>
      </c>
      <c r="B441" t="s">
        <v>474</v>
      </c>
      <c r="C441">
        <v>31</v>
      </c>
      <c r="D441">
        <v>80</v>
      </c>
      <c r="E441">
        <v>80</v>
      </c>
      <c r="F441" t="s">
        <v>12</v>
      </c>
      <c r="G441" t="s">
        <v>17</v>
      </c>
      <c r="H441">
        <v>11</v>
      </c>
    </row>
    <row r="442" spans="1:8">
      <c r="A442">
        <v>212692</v>
      </c>
      <c r="B442" t="s">
        <v>475</v>
      </c>
      <c r="C442">
        <v>22</v>
      </c>
      <c r="D442">
        <v>80</v>
      </c>
      <c r="E442">
        <v>85</v>
      </c>
      <c r="F442" t="s">
        <v>9</v>
      </c>
      <c r="G442" t="s">
        <v>51</v>
      </c>
      <c r="H442">
        <v>79</v>
      </c>
    </row>
    <row r="443" spans="1:8">
      <c r="A443">
        <v>212623</v>
      </c>
      <c r="B443" t="s">
        <v>476</v>
      </c>
      <c r="C443">
        <v>22</v>
      </c>
      <c r="D443">
        <v>80</v>
      </c>
      <c r="E443">
        <v>85</v>
      </c>
      <c r="F443" t="s">
        <v>12</v>
      </c>
      <c r="G443" t="s">
        <v>45</v>
      </c>
      <c r="H443">
        <v>82</v>
      </c>
    </row>
    <row r="444" spans="1:8">
      <c r="A444">
        <v>211748</v>
      </c>
      <c r="B444" t="s">
        <v>477</v>
      </c>
      <c r="C444">
        <v>24</v>
      </c>
      <c r="D444">
        <v>80</v>
      </c>
      <c r="E444">
        <v>84</v>
      </c>
      <c r="F444" t="s">
        <v>9</v>
      </c>
      <c r="G444" t="s">
        <v>19</v>
      </c>
      <c r="H444">
        <v>72</v>
      </c>
    </row>
    <row r="445" spans="1:8">
      <c r="A445">
        <v>211688</v>
      </c>
      <c r="B445" t="s">
        <v>478</v>
      </c>
      <c r="C445">
        <v>23</v>
      </c>
      <c r="D445">
        <v>80</v>
      </c>
      <c r="E445">
        <v>85</v>
      </c>
      <c r="F445" t="s">
        <v>9</v>
      </c>
      <c r="G445" t="s">
        <v>64</v>
      </c>
      <c r="H445">
        <v>61</v>
      </c>
    </row>
    <row r="446" spans="1:8">
      <c r="A446">
        <v>211575</v>
      </c>
      <c r="B446" t="s">
        <v>479</v>
      </c>
      <c r="C446">
        <v>24</v>
      </c>
      <c r="D446">
        <v>80</v>
      </c>
      <c r="E446">
        <v>85</v>
      </c>
      <c r="F446" t="s">
        <v>12</v>
      </c>
      <c r="G446" t="s">
        <v>35</v>
      </c>
      <c r="H446">
        <v>65</v>
      </c>
    </row>
    <row r="447" spans="1:8">
      <c r="A447">
        <v>211256</v>
      </c>
      <c r="B447" t="s">
        <v>480</v>
      </c>
      <c r="C447">
        <v>25</v>
      </c>
      <c r="D447">
        <v>80</v>
      </c>
      <c r="E447">
        <v>82</v>
      </c>
      <c r="F447" t="s">
        <v>9</v>
      </c>
      <c r="G447" t="s">
        <v>64</v>
      </c>
      <c r="H447">
        <v>57</v>
      </c>
    </row>
    <row r="448" spans="1:8">
      <c r="A448">
        <v>210896</v>
      </c>
      <c r="B448" t="s">
        <v>481</v>
      </c>
      <c r="C448">
        <v>23</v>
      </c>
      <c r="D448">
        <v>80</v>
      </c>
      <c r="E448">
        <v>85</v>
      </c>
      <c r="F448" t="s">
        <v>12</v>
      </c>
      <c r="G448" t="s">
        <v>75</v>
      </c>
      <c r="H448">
        <v>74</v>
      </c>
    </row>
    <row r="449" spans="1:8">
      <c r="A449">
        <v>209960</v>
      </c>
      <c r="B449" t="s">
        <v>482</v>
      </c>
      <c r="C449">
        <v>26</v>
      </c>
      <c r="D449">
        <v>80</v>
      </c>
      <c r="E449">
        <v>83</v>
      </c>
      <c r="F449" t="s">
        <v>9</v>
      </c>
      <c r="G449" t="s">
        <v>17</v>
      </c>
      <c r="H449">
        <v>16</v>
      </c>
    </row>
    <row r="450" spans="1:8">
      <c r="A450">
        <v>208333</v>
      </c>
      <c r="B450" t="s">
        <v>483</v>
      </c>
      <c r="C450">
        <v>24</v>
      </c>
      <c r="D450">
        <v>80</v>
      </c>
      <c r="E450">
        <v>85</v>
      </c>
      <c r="F450" t="s">
        <v>12</v>
      </c>
      <c r="G450" t="s">
        <v>99</v>
      </c>
      <c r="H450">
        <v>60</v>
      </c>
    </row>
    <row r="451" spans="1:8">
      <c r="A451">
        <v>208128</v>
      </c>
      <c r="B451" t="s">
        <v>484</v>
      </c>
      <c r="C451">
        <v>24</v>
      </c>
      <c r="D451">
        <v>80</v>
      </c>
      <c r="E451">
        <v>84</v>
      </c>
      <c r="F451" t="s">
        <v>12</v>
      </c>
      <c r="G451" t="s">
        <v>39</v>
      </c>
      <c r="H451">
        <v>65</v>
      </c>
    </row>
    <row r="452" spans="1:8">
      <c r="A452">
        <v>207862</v>
      </c>
      <c r="B452" t="s">
        <v>485</v>
      </c>
      <c r="C452">
        <v>24</v>
      </c>
      <c r="D452">
        <v>80</v>
      </c>
      <c r="E452">
        <v>82</v>
      </c>
      <c r="F452" t="s">
        <v>12</v>
      </c>
      <c r="G452" t="s">
        <v>486</v>
      </c>
      <c r="H452">
        <v>55</v>
      </c>
    </row>
    <row r="453" spans="1:8">
      <c r="A453">
        <v>207599</v>
      </c>
      <c r="B453" t="s">
        <v>487</v>
      </c>
      <c r="C453">
        <v>25</v>
      </c>
      <c r="D453">
        <v>80</v>
      </c>
      <c r="E453">
        <v>83</v>
      </c>
      <c r="F453" t="s">
        <v>12</v>
      </c>
      <c r="G453" t="s">
        <v>26</v>
      </c>
      <c r="H453">
        <v>50</v>
      </c>
    </row>
    <row r="454" spans="1:8">
      <c r="A454">
        <v>207439</v>
      </c>
      <c r="B454" t="s">
        <v>488</v>
      </c>
      <c r="C454">
        <v>24</v>
      </c>
      <c r="D454">
        <v>80</v>
      </c>
      <c r="E454">
        <v>85</v>
      </c>
      <c r="F454" t="s">
        <v>12</v>
      </c>
      <c r="G454" t="s">
        <v>99</v>
      </c>
      <c r="H454">
        <v>55</v>
      </c>
    </row>
    <row r="455" spans="1:8">
      <c r="A455">
        <v>206413</v>
      </c>
      <c r="B455" t="s">
        <v>489</v>
      </c>
      <c r="C455">
        <v>28</v>
      </c>
      <c r="D455">
        <v>80</v>
      </c>
      <c r="E455">
        <v>80</v>
      </c>
      <c r="F455" t="s">
        <v>9</v>
      </c>
      <c r="G455" t="s">
        <v>75</v>
      </c>
      <c r="H455">
        <v>53</v>
      </c>
    </row>
    <row r="456" spans="1:8">
      <c r="A456">
        <v>205988</v>
      </c>
      <c r="B456" t="s">
        <v>490</v>
      </c>
      <c r="C456">
        <v>22</v>
      </c>
      <c r="D456">
        <v>80</v>
      </c>
      <c r="E456">
        <v>85</v>
      </c>
      <c r="F456" t="s">
        <v>9</v>
      </c>
      <c r="G456" t="s">
        <v>64</v>
      </c>
      <c r="H456">
        <v>47</v>
      </c>
    </row>
    <row r="457" spans="1:8">
      <c r="A457">
        <v>205705</v>
      </c>
      <c r="B457" t="s">
        <v>491</v>
      </c>
      <c r="C457">
        <v>28</v>
      </c>
      <c r="D457">
        <v>80</v>
      </c>
      <c r="E457">
        <v>80</v>
      </c>
      <c r="F457" t="s">
        <v>9</v>
      </c>
      <c r="G457" t="s">
        <v>32</v>
      </c>
      <c r="H457">
        <v>40</v>
      </c>
    </row>
    <row r="458" spans="1:8">
      <c r="A458">
        <v>205693</v>
      </c>
      <c r="B458" t="s">
        <v>492</v>
      </c>
      <c r="C458">
        <v>24</v>
      </c>
      <c r="D458">
        <v>80</v>
      </c>
      <c r="E458">
        <v>83</v>
      </c>
      <c r="F458" t="s">
        <v>12</v>
      </c>
      <c r="G458" t="s">
        <v>24</v>
      </c>
      <c r="H458">
        <v>84</v>
      </c>
    </row>
    <row r="459" spans="1:8">
      <c r="A459">
        <v>205525</v>
      </c>
      <c r="B459" t="s">
        <v>493</v>
      </c>
      <c r="C459">
        <v>25</v>
      </c>
      <c r="D459">
        <v>80</v>
      </c>
      <c r="E459">
        <v>81</v>
      </c>
      <c r="F459" t="s">
        <v>12</v>
      </c>
      <c r="G459" t="s">
        <v>61</v>
      </c>
      <c r="H459">
        <v>71</v>
      </c>
    </row>
    <row r="460" spans="1:8">
      <c r="A460">
        <v>205114</v>
      </c>
      <c r="B460" t="s">
        <v>494</v>
      </c>
      <c r="C460">
        <v>30</v>
      </c>
      <c r="D460">
        <v>80</v>
      </c>
      <c r="E460">
        <v>80</v>
      </c>
      <c r="F460" t="s">
        <v>12</v>
      </c>
      <c r="G460" t="s">
        <v>61</v>
      </c>
      <c r="H460">
        <v>70</v>
      </c>
    </row>
    <row r="461" spans="1:8">
      <c r="A461">
        <v>205070</v>
      </c>
      <c r="B461" t="s">
        <v>495</v>
      </c>
      <c r="C461">
        <v>26</v>
      </c>
      <c r="D461">
        <v>80</v>
      </c>
      <c r="E461">
        <v>81</v>
      </c>
      <c r="F461" t="s">
        <v>12</v>
      </c>
      <c r="G461" t="s">
        <v>51</v>
      </c>
      <c r="H461">
        <v>81</v>
      </c>
    </row>
    <row r="462" spans="1:8">
      <c r="A462">
        <v>204529</v>
      </c>
      <c r="B462" t="s">
        <v>496</v>
      </c>
      <c r="C462">
        <v>24</v>
      </c>
      <c r="D462">
        <v>80</v>
      </c>
      <c r="E462">
        <v>84</v>
      </c>
      <c r="F462" t="s">
        <v>12</v>
      </c>
      <c r="G462" t="s">
        <v>13</v>
      </c>
      <c r="H462">
        <v>82</v>
      </c>
    </row>
    <row r="463" spans="1:8">
      <c r="A463">
        <v>204399</v>
      </c>
      <c r="B463" t="s">
        <v>497</v>
      </c>
      <c r="C463">
        <v>30</v>
      </c>
      <c r="D463">
        <v>80</v>
      </c>
      <c r="E463">
        <v>80</v>
      </c>
      <c r="F463" t="s">
        <v>12</v>
      </c>
      <c r="G463" t="s">
        <v>45</v>
      </c>
      <c r="H463">
        <v>83</v>
      </c>
    </row>
    <row r="464" spans="1:8">
      <c r="A464">
        <v>204120</v>
      </c>
      <c r="B464" t="s">
        <v>498</v>
      </c>
      <c r="C464">
        <v>29</v>
      </c>
      <c r="D464">
        <v>80</v>
      </c>
      <c r="E464">
        <v>81</v>
      </c>
      <c r="F464" t="s">
        <v>12</v>
      </c>
      <c r="G464" t="s">
        <v>17</v>
      </c>
      <c r="H464">
        <v>14</v>
      </c>
    </row>
    <row r="465" spans="1:8">
      <c r="A465">
        <v>203841</v>
      </c>
      <c r="B465" t="s">
        <v>499</v>
      </c>
      <c r="C465">
        <v>26</v>
      </c>
      <c r="D465">
        <v>80</v>
      </c>
      <c r="E465">
        <v>83</v>
      </c>
      <c r="F465" t="s">
        <v>12</v>
      </c>
      <c r="G465" t="s">
        <v>17</v>
      </c>
      <c r="H465">
        <v>14</v>
      </c>
    </row>
    <row r="466" spans="1:8">
      <c r="A466">
        <v>203747</v>
      </c>
      <c r="B466" t="s">
        <v>500</v>
      </c>
      <c r="C466">
        <v>23</v>
      </c>
      <c r="D466">
        <v>80</v>
      </c>
      <c r="E466">
        <v>85</v>
      </c>
      <c r="F466" t="s">
        <v>12</v>
      </c>
      <c r="G466" t="s">
        <v>102</v>
      </c>
      <c r="H466">
        <v>52</v>
      </c>
    </row>
    <row r="467" spans="1:8">
      <c r="A467">
        <v>203605</v>
      </c>
      <c r="B467" t="s">
        <v>501</v>
      </c>
      <c r="C467">
        <v>26</v>
      </c>
      <c r="D467">
        <v>80</v>
      </c>
      <c r="E467">
        <v>81</v>
      </c>
      <c r="F467" t="s">
        <v>12</v>
      </c>
      <c r="G467" t="s">
        <v>486</v>
      </c>
      <c r="H467">
        <v>28</v>
      </c>
    </row>
    <row r="468" spans="1:8">
      <c r="A468">
        <v>203042</v>
      </c>
      <c r="B468" t="s">
        <v>502</v>
      </c>
      <c r="C468">
        <v>25</v>
      </c>
      <c r="D468">
        <v>80</v>
      </c>
      <c r="E468">
        <v>85</v>
      </c>
      <c r="F468" t="s">
        <v>12</v>
      </c>
      <c r="G468" t="s">
        <v>17</v>
      </c>
      <c r="H468">
        <v>16</v>
      </c>
    </row>
    <row r="469" spans="1:8">
      <c r="A469">
        <v>202849</v>
      </c>
      <c r="B469" t="s">
        <v>503</v>
      </c>
      <c r="C469">
        <v>25</v>
      </c>
      <c r="D469">
        <v>80</v>
      </c>
      <c r="E469">
        <v>81</v>
      </c>
      <c r="F469" t="s">
        <v>12</v>
      </c>
      <c r="G469" t="s">
        <v>32</v>
      </c>
      <c r="H469">
        <v>34</v>
      </c>
    </row>
    <row r="470" spans="1:8">
      <c r="A470">
        <v>202695</v>
      </c>
      <c r="B470" t="s">
        <v>504</v>
      </c>
      <c r="C470">
        <v>25</v>
      </c>
      <c r="D470">
        <v>80</v>
      </c>
      <c r="E470">
        <v>83</v>
      </c>
      <c r="F470" t="s">
        <v>12</v>
      </c>
      <c r="G470" t="s">
        <v>26</v>
      </c>
      <c r="H470">
        <v>36</v>
      </c>
    </row>
    <row r="471" spans="1:8">
      <c r="A471">
        <v>202477</v>
      </c>
      <c r="B471" t="s">
        <v>505</v>
      </c>
      <c r="C471">
        <v>24</v>
      </c>
      <c r="D471">
        <v>80</v>
      </c>
      <c r="E471">
        <v>82</v>
      </c>
      <c r="F471" t="s">
        <v>12</v>
      </c>
      <c r="G471" t="s">
        <v>24</v>
      </c>
      <c r="H471">
        <v>69</v>
      </c>
    </row>
    <row r="472" spans="1:8">
      <c r="A472">
        <v>202335</v>
      </c>
      <c r="B472" t="s">
        <v>506</v>
      </c>
      <c r="C472">
        <v>24</v>
      </c>
      <c r="D472">
        <v>80</v>
      </c>
      <c r="E472">
        <v>84</v>
      </c>
      <c r="F472" t="s">
        <v>12</v>
      </c>
      <c r="G472" t="s">
        <v>43</v>
      </c>
      <c r="H472">
        <v>52</v>
      </c>
    </row>
    <row r="473" spans="1:8">
      <c r="A473">
        <v>201377</v>
      </c>
      <c r="B473" t="s">
        <v>507</v>
      </c>
      <c r="C473">
        <v>26</v>
      </c>
      <c r="D473">
        <v>80</v>
      </c>
      <c r="E473">
        <v>84</v>
      </c>
      <c r="F473" t="s">
        <v>12</v>
      </c>
      <c r="G473" t="s">
        <v>49</v>
      </c>
      <c r="H473">
        <v>37</v>
      </c>
    </row>
    <row r="474" spans="1:8">
      <c r="A474">
        <v>201144</v>
      </c>
      <c r="B474" t="s">
        <v>508</v>
      </c>
      <c r="C474">
        <v>29</v>
      </c>
      <c r="D474">
        <v>80</v>
      </c>
      <c r="E474">
        <v>80</v>
      </c>
      <c r="F474" t="s">
        <v>12</v>
      </c>
      <c r="G474" t="s">
        <v>43</v>
      </c>
      <c r="H474">
        <v>54</v>
      </c>
    </row>
    <row r="475" spans="1:8">
      <c r="A475">
        <v>201119</v>
      </c>
      <c r="B475" t="s">
        <v>509</v>
      </c>
      <c r="C475">
        <v>28</v>
      </c>
      <c r="D475">
        <v>80</v>
      </c>
      <c r="E475">
        <v>80</v>
      </c>
      <c r="F475" t="s">
        <v>9</v>
      </c>
      <c r="G475" t="s">
        <v>64</v>
      </c>
      <c r="H475">
        <v>60</v>
      </c>
    </row>
    <row r="476" spans="1:8">
      <c r="A476">
        <v>200536</v>
      </c>
      <c r="B476" t="s">
        <v>510</v>
      </c>
      <c r="C476">
        <v>25</v>
      </c>
      <c r="D476">
        <v>80</v>
      </c>
      <c r="E476">
        <v>81</v>
      </c>
      <c r="F476" t="s">
        <v>9</v>
      </c>
      <c r="G476" t="s">
        <v>511</v>
      </c>
      <c r="H476">
        <v>48</v>
      </c>
    </row>
    <row r="477" spans="1:8">
      <c r="A477">
        <v>200458</v>
      </c>
      <c r="B477" t="s">
        <v>512</v>
      </c>
      <c r="C477">
        <v>24</v>
      </c>
      <c r="D477">
        <v>80</v>
      </c>
      <c r="E477">
        <v>84</v>
      </c>
      <c r="F477" t="s">
        <v>9</v>
      </c>
      <c r="G477" t="s">
        <v>64</v>
      </c>
      <c r="H477">
        <v>52</v>
      </c>
    </row>
    <row r="478" spans="1:8">
      <c r="A478">
        <v>200318</v>
      </c>
      <c r="B478" t="s">
        <v>513</v>
      </c>
      <c r="C478">
        <v>26</v>
      </c>
      <c r="D478">
        <v>80</v>
      </c>
      <c r="E478">
        <v>81</v>
      </c>
      <c r="F478" t="s">
        <v>9</v>
      </c>
      <c r="G478" t="s">
        <v>13</v>
      </c>
      <c r="H478">
        <v>85</v>
      </c>
    </row>
    <row r="479" spans="1:8">
      <c r="A479">
        <v>200315</v>
      </c>
      <c r="B479" t="s">
        <v>514</v>
      </c>
      <c r="C479">
        <v>26</v>
      </c>
      <c r="D479">
        <v>80</v>
      </c>
      <c r="E479">
        <v>80</v>
      </c>
      <c r="F479" t="s">
        <v>12</v>
      </c>
      <c r="G479" t="s">
        <v>61</v>
      </c>
      <c r="H479">
        <v>74</v>
      </c>
    </row>
    <row r="480" spans="1:8">
      <c r="A480">
        <v>199206</v>
      </c>
      <c r="B480" t="s">
        <v>515</v>
      </c>
      <c r="C480">
        <v>29</v>
      </c>
      <c r="D480">
        <v>80</v>
      </c>
      <c r="E480">
        <v>80</v>
      </c>
      <c r="F480" t="s">
        <v>12</v>
      </c>
      <c r="G480" t="s">
        <v>49</v>
      </c>
      <c r="H480">
        <v>41</v>
      </c>
    </row>
    <row r="481" spans="1:8">
      <c r="A481">
        <v>199110</v>
      </c>
      <c r="B481" t="s">
        <v>516</v>
      </c>
      <c r="C481">
        <v>27</v>
      </c>
      <c r="D481">
        <v>80</v>
      </c>
      <c r="E481">
        <v>81</v>
      </c>
      <c r="F481" t="s">
        <v>12</v>
      </c>
      <c r="G481" t="s">
        <v>13</v>
      </c>
      <c r="H481">
        <v>78</v>
      </c>
    </row>
    <row r="482" spans="1:8">
      <c r="A482">
        <v>199069</v>
      </c>
      <c r="B482" t="s">
        <v>517</v>
      </c>
      <c r="C482">
        <v>26</v>
      </c>
      <c r="D482">
        <v>80</v>
      </c>
      <c r="E482">
        <v>82</v>
      </c>
      <c r="F482" t="s">
        <v>12</v>
      </c>
      <c r="G482" t="s">
        <v>13</v>
      </c>
      <c r="H482">
        <v>80</v>
      </c>
    </row>
    <row r="483" spans="1:8">
      <c r="A483">
        <v>198784</v>
      </c>
      <c r="B483" t="s">
        <v>518</v>
      </c>
      <c r="C483">
        <v>24</v>
      </c>
      <c r="D483">
        <v>80</v>
      </c>
      <c r="E483">
        <v>85</v>
      </c>
      <c r="F483" t="s">
        <v>12</v>
      </c>
      <c r="G483" t="s">
        <v>99</v>
      </c>
      <c r="H483">
        <v>69</v>
      </c>
    </row>
    <row r="484" spans="1:8">
      <c r="A484">
        <v>197853</v>
      </c>
      <c r="B484" t="s">
        <v>519</v>
      </c>
      <c r="C484">
        <v>25</v>
      </c>
      <c r="D484">
        <v>80</v>
      </c>
      <c r="E484">
        <v>83</v>
      </c>
      <c r="F484" t="s">
        <v>12</v>
      </c>
      <c r="G484" t="s">
        <v>102</v>
      </c>
      <c r="H484">
        <v>54</v>
      </c>
    </row>
    <row r="485" spans="1:8">
      <c r="A485">
        <v>197061</v>
      </c>
      <c r="B485" t="s">
        <v>520</v>
      </c>
      <c r="C485">
        <v>26</v>
      </c>
      <c r="D485">
        <v>80</v>
      </c>
      <c r="E485">
        <v>82</v>
      </c>
      <c r="F485" t="s">
        <v>12</v>
      </c>
      <c r="G485" t="s">
        <v>32</v>
      </c>
      <c r="H485">
        <v>36</v>
      </c>
    </row>
    <row r="486" spans="1:8">
      <c r="A486">
        <v>195861</v>
      </c>
      <c r="B486" t="s">
        <v>521</v>
      </c>
      <c r="C486">
        <v>28</v>
      </c>
      <c r="D486">
        <v>80</v>
      </c>
      <c r="E486">
        <v>80</v>
      </c>
      <c r="F486" t="s">
        <v>9</v>
      </c>
      <c r="G486" t="s">
        <v>49</v>
      </c>
      <c r="H486">
        <v>57</v>
      </c>
    </row>
    <row r="487" spans="1:8">
      <c r="A487">
        <v>194879</v>
      </c>
      <c r="B487" t="s">
        <v>522</v>
      </c>
      <c r="C487">
        <v>28</v>
      </c>
      <c r="D487">
        <v>80</v>
      </c>
      <c r="E487">
        <v>80</v>
      </c>
      <c r="F487" t="s">
        <v>12</v>
      </c>
      <c r="G487" t="s">
        <v>24</v>
      </c>
      <c r="H487">
        <v>81</v>
      </c>
    </row>
    <row r="488" spans="1:8">
      <c r="A488">
        <v>194794</v>
      </c>
      <c r="B488" t="s">
        <v>523</v>
      </c>
      <c r="C488">
        <v>28</v>
      </c>
      <c r="D488">
        <v>80</v>
      </c>
      <c r="E488">
        <v>80</v>
      </c>
      <c r="F488" t="s">
        <v>9</v>
      </c>
      <c r="G488" t="s">
        <v>51</v>
      </c>
      <c r="H488">
        <v>77</v>
      </c>
    </row>
    <row r="489" spans="1:8">
      <c r="A489">
        <v>194229</v>
      </c>
      <c r="B489" t="s">
        <v>524</v>
      </c>
      <c r="C489">
        <v>27</v>
      </c>
      <c r="D489">
        <v>80</v>
      </c>
      <c r="E489">
        <v>81</v>
      </c>
      <c r="F489" t="s">
        <v>12</v>
      </c>
      <c r="G489" t="s">
        <v>102</v>
      </c>
      <c r="H489">
        <v>28</v>
      </c>
    </row>
    <row r="490" spans="1:8">
      <c r="A490">
        <v>194022</v>
      </c>
      <c r="B490" t="s">
        <v>525</v>
      </c>
      <c r="C490">
        <v>27</v>
      </c>
      <c r="D490">
        <v>80</v>
      </c>
      <c r="E490">
        <v>80</v>
      </c>
      <c r="F490" t="s">
        <v>12</v>
      </c>
      <c r="G490" t="s">
        <v>102</v>
      </c>
      <c r="H490">
        <v>54</v>
      </c>
    </row>
    <row r="491" spans="1:8">
      <c r="A491">
        <v>193886</v>
      </c>
      <c r="B491" t="s">
        <v>526</v>
      </c>
      <c r="C491">
        <v>28</v>
      </c>
      <c r="D491">
        <v>80</v>
      </c>
      <c r="E491">
        <v>80</v>
      </c>
      <c r="F491" t="s">
        <v>9</v>
      </c>
      <c r="G491" t="s">
        <v>39</v>
      </c>
      <c r="H491">
        <v>80</v>
      </c>
    </row>
    <row r="492" spans="1:8">
      <c r="A492">
        <v>193352</v>
      </c>
      <c r="B492" t="s">
        <v>527</v>
      </c>
      <c r="C492">
        <v>25</v>
      </c>
      <c r="D492">
        <v>80</v>
      </c>
      <c r="E492">
        <v>83</v>
      </c>
      <c r="F492" t="s">
        <v>9</v>
      </c>
      <c r="G492" t="s">
        <v>64</v>
      </c>
      <c r="H492">
        <v>59</v>
      </c>
    </row>
    <row r="493" spans="1:8">
      <c r="A493">
        <v>193061</v>
      </c>
      <c r="B493" t="s">
        <v>528</v>
      </c>
      <c r="C493">
        <v>27</v>
      </c>
      <c r="D493">
        <v>80</v>
      </c>
      <c r="E493">
        <v>80</v>
      </c>
      <c r="F493" t="s">
        <v>12</v>
      </c>
      <c r="G493" t="s">
        <v>61</v>
      </c>
      <c r="H493">
        <v>74</v>
      </c>
    </row>
    <row r="494" spans="1:8">
      <c r="A494">
        <v>192789</v>
      </c>
      <c r="B494" t="s">
        <v>529</v>
      </c>
      <c r="C494">
        <v>27</v>
      </c>
      <c r="D494">
        <v>80</v>
      </c>
      <c r="E494">
        <v>80</v>
      </c>
      <c r="F494" t="s">
        <v>12</v>
      </c>
      <c r="G494" t="s">
        <v>102</v>
      </c>
      <c r="H494">
        <v>68</v>
      </c>
    </row>
    <row r="495" spans="1:8">
      <c r="A495">
        <v>191687</v>
      </c>
      <c r="B495" t="s">
        <v>530</v>
      </c>
      <c r="C495">
        <v>29</v>
      </c>
      <c r="D495">
        <v>80</v>
      </c>
      <c r="E495">
        <v>80</v>
      </c>
      <c r="F495" t="s">
        <v>12</v>
      </c>
      <c r="G495" t="s">
        <v>32</v>
      </c>
      <c r="H495">
        <v>40</v>
      </c>
    </row>
    <row r="496" spans="1:8">
      <c r="A496">
        <v>190815</v>
      </c>
      <c r="B496" t="s">
        <v>531</v>
      </c>
      <c r="C496">
        <v>28</v>
      </c>
      <c r="D496">
        <v>80</v>
      </c>
      <c r="E496">
        <v>80</v>
      </c>
      <c r="F496" t="s">
        <v>9</v>
      </c>
      <c r="G496" t="s">
        <v>64</v>
      </c>
      <c r="H496">
        <v>46</v>
      </c>
    </row>
    <row r="497" spans="1:8">
      <c r="A497">
        <v>190778</v>
      </c>
      <c r="B497" t="s">
        <v>532</v>
      </c>
      <c r="C497">
        <v>27</v>
      </c>
      <c r="D497">
        <v>80</v>
      </c>
      <c r="E497">
        <v>83</v>
      </c>
      <c r="F497" t="s">
        <v>12</v>
      </c>
      <c r="G497" t="s">
        <v>17</v>
      </c>
      <c r="H497">
        <v>12</v>
      </c>
    </row>
    <row r="498" spans="1:8">
      <c r="A498">
        <v>190544</v>
      </c>
      <c r="B498" t="s">
        <v>533</v>
      </c>
      <c r="C498">
        <v>26</v>
      </c>
      <c r="D498">
        <v>80</v>
      </c>
      <c r="E498">
        <v>81</v>
      </c>
      <c r="F498" t="s">
        <v>12</v>
      </c>
      <c r="G498" t="s">
        <v>39</v>
      </c>
      <c r="H498">
        <v>69</v>
      </c>
    </row>
    <row r="499" spans="1:8">
      <c r="A499">
        <v>190286</v>
      </c>
      <c r="B499" t="s">
        <v>534</v>
      </c>
      <c r="C499">
        <v>27</v>
      </c>
      <c r="D499">
        <v>80</v>
      </c>
      <c r="E499">
        <v>80</v>
      </c>
      <c r="F499" t="s">
        <v>9</v>
      </c>
      <c r="G499" t="s">
        <v>19</v>
      </c>
      <c r="H499">
        <v>77</v>
      </c>
    </row>
    <row r="500" spans="1:8">
      <c r="A500">
        <v>190264</v>
      </c>
      <c r="B500" t="s">
        <v>535</v>
      </c>
      <c r="C500">
        <v>28</v>
      </c>
      <c r="D500">
        <v>80</v>
      </c>
      <c r="E500">
        <v>80</v>
      </c>
      <c r="F500" t="s">
        <v>9</v>
      </c>
      <c r="G500" t="s">
        <v>87</v>
      </c>
      <c r="H500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FBA7-84DC-456C-B2D3-35A464732B95}">
  <dimension ref="A1:E71"/>
  <sheetViews>
    <sheetView tabSelected="1" topLeftCell="A61" workbookViewId="0">
      <selection activeCell="N56" sqref="N56"/>
    </sheetView>
  </sheetViews>
  <sheetFormatPr defaultRowHeight="14.4"/>
  <cols>
    <col min="1" max="1" width="28" customWidth="1"/>
    <col min="4" max="4" width="11.5546875" bestFit="1" customWidth="1"/>
  </cols>
  <sheetData>
    <row r="1" spans="1:5">
      <c r="A1" t="s">
        <v>536</v>
      </c>
    </row>
    <row r="4" spans="1:5" ht="18">
      <c r="A4" s="4" t="s">
        <v>537</v>
      </c>
    </row>
    <row r="5" spans="1:5" ht="18">
      <c r="A5" s="1" t="s">
        <v>541</v>
      </c>
      <c r="B5" s="2" t="s">
        <v>542</v>
      </c>
    </row>
    <row r="6" spans="1:5">
      <c r="A6" t="s">
        <v>538</v>
      </c>
      <c r="B6">
        <f>COUNTA(SD!$B$2:$B$500)</f>
        <v>499</v>
      </c>
    </row>
    <row r="7" spans="1:5">
      <c r="A7" t="s">
        <v>539</v>
      </c>
      <c r="B7">
        <f>COUNTA(SD!$A$1:$H$1)</f>
        <v>8</v>
      </c>
    </row>
    <row r="8" spans="1:5">
      <c r="A8" t="s">
        <v>540</v>
      </c>
      <c r="B8" t="str">
        <f>_xlfn.TEXTJOIN(", ",TRUE,SD!$A$1:$H$1)</f>
        <v>ID, Name, Age, Overall, Potential, Preferred Foot, Position, Finishing</v>
      </c>
    </row>
    <row r="11" spans="1:5" ht="19.2" customHeight="1">
      <c r="A11" s="3" t="s">
        <v>543</v>
      </c>
    </row>
    <row r="12" spans="1:5">
      <c r="A12" s="2" t="s">
        <v>544</v>
      </c>
      <c r="B12" s="2" t="s">
        <v>545</v>
      </c>
      <c r="C12" s="2" t="s">
        <v>546</v>
      </c>
      <c r="D12" s="2" t="s">
        <v>547</v>
      </c>
      <c r="E12" s="2" t="s">
        <v>548</v>
      </c>
    </row>
    <row r="13" spans="1:5">
      <c r="A13" t="s">
        <v>2</v>
      </c>
      <c r="B13">
        <f>MIN(SD!$C$2:$C$500)</f>
        <v>18</v>
      </c>
      <c r="C13">
        <f>MAX(SD!$C$2:$C$500)</f>
        <v>40</v>
      </c>
      <c r="D13">
        <f>AVERAGE(SD!$C$2:$C$500)</f>
        <v>27.192384769539078</v>
      </c>
      <c r="E13">
        <f>MAX(SD!$C$2:$C$500)-MIN(SD!$C$2:$C$500)</f>
        <v>22</v>
      </c>
    </row>
    <row r="14" spans="1:5">
      <c r="A14" s="5" t="s">
        <v>3</v>
      </c>
      <c r="B14">
        <f>MIN(SD!$D$2:D500)</f>
        <v>80</v>
      </c>
      <c r="C14">
        <f>MAX(SD!$D$2:$D$500)</f>
        <v>94</v>
      </c>
      <c r="D14">
        <f>AVERAGE(SD!$D$2:$D500)</f>
        <v>82.905811623246493</v>
      </c>
      <c r="E14">
        <f>MAX(SD!$D$2:$D$500)-MIN(SD!$D$2:$D$500)</f>
        <v>14</v>
      </c>
    </row>
    <row r="15" spans="1:5">
      <c r="A15" s="5" t="s">
        <v>4</v>
      </c>
      <c r="B15" s="5">
        <f>MIN(SD!$E$2:$E$500)</f>
        <v>80</v>
      </c>
      <c r="C15" s="5">
        <f>MAX(SD!$E$2:$E$500)</f>
        <v>95</v>
      </c>
      <c r="D15" s="5">
        <f>AVERAGE(SD!$E$2:$E500)</f>
        <v>84.831663326653313</v>
      </c>
      <c r="E15" s="5">
        <f>MAX(SD!$E$2:$E$500)-MIN(SD!$E$2:$E$500)</f>
        <v>15</v>
      </c>
    </row>
    <row r="16" spans="1:5">
      <c r="A16" t="s">
        <v>7</v>
      </c>
      <c r="B16">
        <f>MIN(SD!$H$2:$H$500)</f>
        <v>8</v>
      </c>
      <c r="C16">
        <f>MAX(SD!$H$2:$H$500)</f>
        <v>95</v>
      </c>
      <c r="D16">
        <f>AVERAGE(SD!$H$2:$H500)</f>
        <v>59.615230460921843</v>
      </c>
      <c r="E16">
        <f>MAX(SD!$H$2:$H$500)-MIN(SD!$H$2:$H$500)</f>
        <v>87</v>
      </c>
    </row>
    <row r="18" spans="1:2">
      <c r="A18" s="3" t="s">
        <v>549</v>
      </c>
    </row>
    <row r="19" spans="1:2">
      <c r="A19" s="2" t="s">
        <v>5</v>
      </c>
      <c r="B19" s="2" t="s">
        <v>550</v>
      </c>
    </row>
    <row r="20" spans="1:2">
      <c r="A20" t="s">
        <v>9</v>
      </c>
      <c r="B20">
        <f>COUNTIF(SD!$F$2:$F$500,"Left")</f>
        <v>131</v>
      </c>
    </row>
    <row r="21" spans="1:2">
      <c r="A21" t="s">
        <v>12</v>
      </c>
      <c r="B21">
        <f>COUNTIF(SD!$F$2:$F$500,"right")</f>
        <v>368</v>
      </c>
    </row>
    <row r="22" spans="1:2">
      <c r="A22" t="s">
        <v>560</v>
      </c>
      <c r="B22">
        <f>COUNTIF(SD!$F$2:$F$500,"Left")+COUNTIF(SD!$F$2:$F$500,"Right")</f>
        <v>499</v>
      </c>
    </row>
    <row r="23" spans="1:2" ht="15" customHeight="1"/>
    <row r="24" spans="1:2">
      <c r="A24" s="3" t="s">
        <v>552</v>
      </c>
    </row>
    <row r="25" spans="1:2">
      <c r="A25" s="2" t="s">
        <v>553</v>
      </c>
      <c r="B25" s="2" t="s">
        <v>554</v>
      </c>
    </row>
    <row r="26" spans="1:2">
      <c r="A26" t="s">
        <v>555</v>
      </c>
      <c r="B26">
        <f>COUNTIF(SD!$D:$D,"&lt;60")</f>
        <v>0</v>
      </c>
    </row>
    <row r="27" spans="1:2">
      <c r="A27" t="s">
        <v>556</v>
      </c>
      <c r="B27">
        <f>COUNTIFS(SD!$D:D,"&gt;=60",SD!$D:$D,"&lt;=69")</f>
        <v>0</v>
      </c>
    </row>
    <row r="28" spans="1:2">
      <c r="A28" t="s">
        <v>557</v>
      </c>
      <c r="B28">
        <f>COUNTIFS(SD!$D:D,"&gt;=70",SD!$D:$D,"&lt;=79")</f>
        <v>0</v>
      </c>
    </row>
    <row r="29" spans="1:2">
      <c r="A29" t="s">
        <v>558</v>
      </c>
      <c r="B29">
        <f>COUNTIFS(SD!$D:$D,"&gt;=80",SD!$D:$D,"&lt;=89")</f>
        <v>485</v>
      </c>
    </row>
    <row r="30" spans="1:2">
      <c r="A30" t="s">
        <v>559</v>
      </c>
      <c r="B30">
        <f>COUNTIFS(SD!$D:$D,"&gt;=90",SD!$D:$D,"&lt;=100")</f>
        <v>14</v>
      </c>
    </row>
    <row r="31" spans="1:2">
      <c r="A31" t="s">
        <v>561</v>
      </c>
    </row>
    <row r="33" spans="1:2">
      <c r="A33" s="6" t="s">
        <v>562</v>
      </c>
    </row>
    <row r="34" spans="1:2">
      <c r="A34" s="2" t="s">
        <v>563</v>
      </c>
      <c r="B34" s="2" t="s">
        <v>554</v>
      </c>
    </row>
    <row r="35" spans="1:2">
      <c r="A35" t="s">
        <v>564</v>
      </c>
      <c r="B35">
        <f>COUNTIF(SD!$C:$C,"&lt;20")</f>
        <v>4</v>
      </c>
    </row>
    <row r="36" spans="1:2">
      <c r="A36" t="s">
        <v>565</v>
      </c>
      <c r="B36">
        <f>COUNTIFS(SD!$C:$C,"&gt;=20",SD!$C:$C,"&lt;=24")</f>
        <v>119</v>
      </c>
    </row>
    <row r="37" spans="1:2">
      <c r="A37" t="s">
        <v>566</v>
      </c>
      <c r="B37">
        <f>COUNTIFS(SD!$C:$C,"&gt;=25",SD!$C:$C,"&lt;=28")</f>
        <v>197</v>
      </c>
    </row>
    <row r="38" spans="1:2">
      <c r="A38" t="s">
        <v>567</v>
      </c>
      <c r="B38">
        <f>COUNTIFS(SD!$C:$C,"&gt;=20",SD!$C:$C,"&lt;=24")</f>
        <v>119</v>
      </c>
    </row>
    <row r="39" spans="1:2">
      <c r="A39" t="s">
        <v>568</v>
      </c>
      <c r="B39">
        <f>COUNTIF(SD!$C:$C,"&gt;=33")</f>
        <v>37</v>
      </c>
    </row>
    <row r="40" spans="1:2">
      <c r="A40" t="s">
        <v>560</v>
      </c>
      <c r="B40">
        <f>COUNTIF(SD!$C:$C,"&lt;20")+COUNTIFS(SD!$C:$C,"&gt;=20",SD!$C:$C,"&lt;=24")+COUNTIFS(SD!$C:$C,"&gt;=25",SD!$C:$C,"&lt;=28")+COUNTIFS(SD!$C:$C,"&gt;=29",SD!$C:$C,"&lt;=32")+COUNTIF(SD!$C:$C,"&gt;=33")</f>
        <v>499</v>
      </c>
    </row>
    <row r="42" spans="1:2">
      <c r="A42" s="3" t="s">
        <v>551</v>
      </c>
    </row>
    <row r="43" spans="1:2">
      <c r="A43" s="2" t="s">
        <v>569</v>
      </c>
      <c r="B43" s="2" t="s">
        <v>570</v>
      </c>
    </row>
    <row r="44" spans="1:2">
      <c r="A44" s="8" t="s">
        <v>39</v>
      </c>
      <c r="B44">
        <f>COUNTIF(SD!$G$2:$G$500,"CAM")</f>
        <v>32</v>
      </c>
    </row>
    <row r="45" spans="1:2">
      <c r="A45" s="5" t="s">
        <v>32</v>
      </c>
      <c r="B45" s="7">
        <f>COUNTIF(SD!$G$2:$G$500,"CB")</f>
        <v>29</v>
      </c>
    </row>
    <row r="46" spans="1:2">
      <c r="A46" s="5" t="s">
        <v>43</v>
      </c>
      <c r="B46" s="7">
        <f>COUNTIF(SD!$G$2:$G$500,"CDM")</f>
        <v>19</v>
      </c>
    </row>
    <row r="47" spans="1:2">
      <c r="A47" s="5" t="s">
        <v>306</v>
      </c>
      <c r="B47" s="7">
        <f>COUNTIF(SD!$G$2:$G$500,"CF")</f>
        <v>5</v>
      </c>
    </row>
    <row r="48" spans="1:2">
      <c r="A48" s="5" t="s">
        <v>99</v>
      </c>
      <c r="B48" s="7">
        <f>COUNTIF(SD!$G$2:$G$500,"CM")</f>
        <v>26</v>
      </c>
    </row>
    <row r="49" spans="1:2">
      <c r="A49" s="5" t="s">
        <v>17</v>
      </c>
      <c r="B49" s="7">
        <f>COUNTIF(SD!$G$2:$G$500,"GK")</f>
        <v>57</v>
      </c>
    </row>
    <row r="50" spans="1:2">
      <c r="A50" s="5" t="s">
        <v>64</v>
      </c>
      <c r="B50" s="7">
        <f>COUNTIF(SD!$G$2:$G$500,"LB")</f>
        <v>24</v>
      </c>
    </row>
    <row r="51" spans="1:2">
      <c r="A51" s="5" t="s">
        <v>49</v>
      </c>
      <c r="B51" s="7">
        <f>COUNTIF(SD!$G$2:$G$500,"LCB")</f>
        <v>28</v>
      </c>
    </row>
    <row r="52" spans="1:2">
      <c r="A52" s="5" t="s">
        <v>30</v>
      </c>
      <c r="B52" s="7">
        <f>COUNTIF(SD!$G$2:$G$500,"LCM")</f>
        <v>20</v>
      </c>
    </row>
    <row r="53" spans="1:2">
      <c r="A53" s="5" t="s">
        <v>35</v>
      </c>
      <c r="B53" s="7">
        <f>COUNTIF(SD!$G$2:$G$500,"LDM")</f>
        <v>11</v>
      </c>
    </row>
    <row r="54" spans="1:2">
      <c r="A54" s="5" t="s">
        <v>21</v>
      </c>
      <c r="B54" s="7">
        <f>COUNTIF(SD!$G$2:$G$500,"LF")</f>
        <v>4</v>
      </c>
    </row>
    <row r="55" spans="1:2">
      <c r="A55" s="5" t="s">
        <v>61</v>
      </c>
      <c r="B55" s="7">
        <f>COUNTIF(SD!$G$2:$G$500,"LM")</f>
        <v>33</v>
      </c>
    </row>
    <row r="56" spans="1:2">
      <c r="A56" s="5" t="s">
        <v>45</v>
      </c>
      <c r="B56" s="7">
        <f>COUNTIF(SD!$G$2:$G$500,"LS")</f>
        <v>16</v>
      </c>
    </row>
    <row r="57" spans="1:2">
      <c r="A57" s="5" t="s">
        <v>15</v>
      </c>
      <c r="B57" s="7">
        <f>COUNTIF(SD!$G$2:$G$500,"LW")</f>
        <v>10</v>
      </c>
    </row>
    <row r="58" spans="1:2">
      <c r="A58" s="5" t="s">
        <v>511</v>
      </c>
      <c r="B58" s="7">
        <f>COUNTIF(SD!$G$2:$G$500,"LWB")</f>
        <v>1</v>
      </c>
    </row>
    <row r="59" spans="1:2">
      <c r="A59" s="5" t="s">
        <v>163</v>
      </c>
      <c r="B59" s="7">
        <f>COUNTIF(SD!$G$2:$G$500,"RAM")</f>
        <v>2</v>
      </c>
    </row>
    <row r="60" spans="1:2">
      <c r="A60" s="5" t="s">
        <v>102</v>
      </c>
      <c r="B60" s="7">
        <f>COUNTIF(SD!$G$2:$G$500,"RB")</f>
        <v>23</v>
      </c>
    </row>
    <row r="61" spans="1:2">
      <c r="A61" s="5" t="s">
        <v>26</v>
      </c>
      <c r="B61" s="7">
        <f>COUNTIF(SD!$G$2:$G$500,"RCB")</f>
        <v>29</v>
      </c>
    </row>
    <row r="62" spans="1:2">
      <c r="A62" s="5" t="s">
        <v>19</v>
      </c>
      <c r="B62" s="7">
        <f>COUNTIF(SD!$G$2:$G$500,"RCM")</f>
        <v>19</v>
      </c>
    </row>
    <row r="63" spans="1:2">
      <c r="A63" s="5" t="s">
        <v>75</v>
      </c>
      <c r="B63" s="7">
        <f>COUNTIF(SD!$G$2:$G$500,"RDM")</f>
        <v>8</v>
      </c>
    </row>
    <row r="64" spans="1:2">
      <c r="A64" s="5" t="s">
        <v>10</v>
      </c>
      <c r="B64" s="7">
        <f>COUNTIF(SD!$G$2:$G$500,"RF")</f>
        <v>2</v>
      </c>
    </row>
    <row r="65" spans="1:2">
      <c r="A65" s="5" t="s">
        <v>51</v>
      </c>
      <c r="B65" s="7">
        <f>COUNTIF(SD!$G$2:$G$500,"RM")</f>
        <v>30</v>
      </c>
    </row>
    <row r="66" spans="1:2">
      <c r="A66" s="5" t="s">
        <v>24</v>
      </c>
      <c r="B66" s="7">
        <f>COUNTIF(SD!$G$2:$G$500,"RS")</f>
        <v>10</v>
      </c>
    </row>
    <row r="67" spans="1:2">
      <c r="A67" s="5" t="s">
        <v>87</v>
      </c>
      <c r="B67" s="7">
        <f>COUNTIF(SD!$G$2:$G$500,"RW")</f>
        <v>19</v>
      </c>
    </row>
    <row r="68" spans="1:2">
      <c r="A68" s="5" t="s">
        <v>486</v>
      </c>
      <c r="B68" s="7">
        <f>COUNTIF(SD!$G$2:$G$500,"RWB")</f>
        <v>2</v>
      </c>
    </row>
    <row r="69" spans="1:2">
      <c r="A69" s="5" t="s">
        <v>13</v>
      </c>
      <c r="B69" s="7">
        <f>COUNTIF(SD!$G$2:$G$500,"ST")</f>
        <v>38</v>
      </c>
    </row>
    <row r="70" spans="1:2">
      <c r="A70" s="5" t="s">
        <v>55</v>
      </c>
      <c r="B70" s="7">
        <f>COUNTIF(SD!$G$2:$G$500,"LAM")</f>
        <v>2</v>
      </c>
    </row>
    <row r="71" spans="1:2">
      <c r="A71" s="5" t="s">
        <v>560</v>
      </c>
      <c r="B71">
        <f>SUM(B44:B70)</f>
        <v>499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Lingolu Tejaswi</dc:creator>
  <cp:lastModifiedBy>Lingolu Tejaswi</cp:lastModifiedBy>
  <cp:lastPrinted>2026-09-14T17:17:17Z</cp:lastPrinted>
  <dcterms:created xsi:type="dcterms:W3CDTF">2026-09-14T14:21:51Z</dcterms:created>
  <dcterms:modified xsi:type="dcterms:W3CDTF">2026-09-14T17:21:50Z</dcterms:modified>
</cp:coreProperties>
</file>